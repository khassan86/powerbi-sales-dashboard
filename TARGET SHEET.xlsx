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LS-power bi\project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O9" i="1"/>
  <c r="D19" i="1"/>
  <c r="D47" i="1" s="1"/>
  <c r="E19" i="1"/>
  <c r="E47" i="1" s="1"/>
  <c r="F19" i="1"/>
  <c r="F47" i="1" s="1"/>
  <c r="G19" i="1"/>
  <c r="H19" i="1"/>
  <c r="I19" i="1"/>
  <c r="J19" i="1"/>
  <c r="K19" i="1"/>
  <c r="L19" i="1"/>
  <c r="M19" i="1"/>
  <c r="N19" i="1"/>
  <c r="O19" i="1"/>
  <c r="D29" i="1"/>
  <c r="E29" i="1"/>
  <c r="F29" i="1"/>
  <c r="G29" i="1"/>
  <c r="H29" i="1"/>
  <c r="I29" i="1"/>
  <c r="J29" i="1"/>
  <c r="K29" i="1"/>
  <c r="L29" i="1"/>
  <c r="M29" i="1"/>
  <c r="N29" i="1"/>
  <c r="O29" i="1"/>
  <c r="D37" i="1"/>
  <c r="E37" i="1"/>
  <c r="F37" i="1"/>
  <c r="G37" i="1"/>
  <c r="H37" i="1"/>
  <c r="I37" i="1"/>
  <c r="J37" i="1"/>
  <c r="K37" i="1"/>
  <c r="L37" i="1"/>
  <c r="M37" i="1"/>
  <c r="N37" i="1"/>
  <c r="O37" i="1"/>
  <c r="D45" i="1"/>
  <c r="E45" i="1"/>
  <c r="F45" i="1"/>
  <c r="G45" i="1"/>
  <c r="H45" i="1"/>
  <c r="I45" i="1"/>
  <c r="J45" i="1"/>
  <c r="K45" i="1"/>
  <c r="L45" i="1"/>
  <c r="M45" i="1"/>
  <c r="N45" i="1"/>
  <c r="O45" i="1"/>
  <c r="G47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A45" i="1"/>
  <c r="Z45" i="1"/>
  <c r="Y45" i="1"/>
  <c r="X45" i="1"/>
  <c r="W45" i="1"/>
  <c r="V45" i="1"/>
  <c r="U45" i="1"/>
  <c r="T45" i="1"/>
  <c r="S45" i="1"/>
  <c r="R45" i="1"/>
  <c r="Q45" i="1"/>
  <c r="P45" i="1"/>
  <c r="CC44" i="1"/>
  <c r="CB44" i="1"/>
  <c r="BC44" i="1"/>
  <c r="BB44" i="1"/>
  <c r="AC44" i="1"/>
  <c r="AB44" i="1"/>
  <c r="CC43" i="1"/>
  <c r="CB43" i="1"/>
  <c r="BC43" i="1"/>
  <c r="BB43" i="1"/>
  <c r="AC43" i="1"/>
  <c r="AB43" i="1"/>
  <c r="CC42" i="1"/>
  <c r="CB42" i="1"/>
  <c r="BC42" i="1"/>
  <c r="BB42" i="1"/>
  <c r="AC42" i="1"/>
  <c r="AB42" i="1"/>
  <c r="CC41" i="1"/>
  <c r="CB41" i="1"/>
  <c r="BC41" i="1"/>
  <c r="BB41" i="1"/>
  <c r="AC41" i="1"/>
  <c r="AB41" i="1"/>
  <c r="CC40" i="1"/>
  <c r="CB40" i="1"/>
  <c r="BC40" i="1"/>
  <c r="BB40" i="1"/>
  <c r="AC40" i="1"/>
  <c r="AB40" i="1"/>
  <c r="CC39" i="1"/>
  <c r="CB39" i="1"/>
  <c r="BC39" i="1"/>
  <c r="BB39" i="1"/>
  <c r="AC39" i="1"/>
  <c r="AB39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A37" i="1"/>
  <c r="Z37" i="1"/>
  <c r="Y37" i="1"/>
  <c r="X37" i="1"/>
  <c r="W37" i="1"/>
  <c r="V37" i="1"/>
  <c r="U37" i="1"/>
  <c r="T37" i="1"/>
  <c r="S37" i="1"/>
  <c r="R37" i="1"/>
  <c r="Q37" i="1"/>
  <c r="P37" i="1"/>
  <c r="CC36" i="1"/>
  <c r="CB36" i="1"/>
  <c r="BC36" i="1"/>
  <c r="BB36" i="1"/>
  <c r="AC36" i="1"/>
  <c r="AB36" i="1"/>
  <c r="CC35" i="1"/>
  <c r="CB35" i="1"/>
  <c r="BC35" i="1"/>
  <c r="BB35" i="1"/>
  <c r="AC35" i="1"/>
  <c r="AB35" i="1"/>
  <c r="CC34" i="1"/>
  <c r="CB34" i="1"/>
  <c r="BC34" i="1"/>
  <c r="BB34" i="1"/>
  <c r="AC34" i="1"/>
  <c r="AB34" i="1"/>
  <c r="CC33" i="1"/>
  <c r="CB33" i="1"/>
  <c r="BC33" i="1"/>
  <c r="BB33" i="1"/>
  <c r="AC33" i="1"/>
  <c r="AB33" i="1"/>
  <c r="CC32" i="1"/>
  <c r="CB32" i="1"/>
  <c r="BC32" i="1"/>
  <c r="BB32" i="1"/>
  <c r="AC32" i="1"/>
  <c r="AB32" i="1"/>
  <c r="CC31" i="1"/>
  <c r="CB31" i="1"/>
  <c r="BC31" i="1"/>
  <c r="BB31" i="1"/>
  <c r="AC31" i="1"/>
  <c r="AB31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A29" i="1"/>
  <c r="Z29" i="1"/>
  <c r="Y29" i="1"/>
  <c r="X29" i="1"/>
  <c r="W29" i="1"/>
  <c r="V29" i="1"/>
  <c r="U29" i="1"/>
  <c r="T29" i="1"/>
  <c r="S29" i="1"/>
  <c r="R29" i="1"/>
  <c r="Q29" i="1"/>
  <c r="P29" i="1"/>
  <c r="CC28" i="1"/>
  <c r="CB28" i="1"/>
  <c r="BC28" i="1"/>
  <c r="BB28" i="1"/>
  <c r="AC28" i="1"/>
  <c r="AB28" i="1"/>
  <c r="CC27" i="1"/>
  <c r="CB27" i="1"/>
  <c r="BC27" i="1"/>
  <c r="BB27" i="1"/>
  <c r="AC27" i="1"/>
  <c r="AB27" i="1"/>
  <c r="CC26" i="1"/>
  <c r="CB26" i="1"/>
  <c r="BC26" i="1"/>
  <c r="BB26" i="1"/>
  <c r="AC26" i="1"/>
  <c r="AB26" i="1"/>
  <c r="CC25" i="1"/>
  <c r="CB25" i="1"/>
  <c r="BC25" i="1"/>
  <c r="BB25" i="1"/>
  <c r="AC25" i="1"/>
  <c r="AB25" i="1"/>
  <c r="CC24" i="1"/>
  <c r="CB24" i="1"/>
  <c r="BC24" i="1"/>
  <c r="BB24" i="1"/>
  <c r="AC24" i="1"/>
  <c r="AB24" i="1"/>
  <c r="CC23" i="1"/>
  <c r="CB23" i="1"/>
  <c r="BC23" i="1"/>
  <c r="BB23" i="1"/>
  <c r="AC23" i="1"/>
  <c r="AB23" i="1"/>
  <c r="CC22" i="1"/>
  <c r="CB22" i="1"/>
  <c r="BC22" i="1"/>
  <c r="BB22" i="1"/>
  <c r="AC22" i="1"/>
  <c r="AB22" i="1"/>
  <c r="CC21" i="1"/>
  <c r="CB21" i="1"/>
  <c r="BC21" i="1"/>
  <c r="BB21" i="1"/>
  <c r="AC21" i="1"/>
  <c r="AB21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A19" i="1"/>
  <c r="Z19" i="1"/>
  <c r="Y19" i="1"/>
  <c r="X19" i="1"/>
  <c r="W19" i="1"/>
  <c r="V19" i="1"/>
  <c r="U19" i="1"/>
  <c r="T19" i="1"/>
  <c r="S19" i="1"/>
  <c r="R19" i="1"/>
  <c r="Q19" i="1"/>
  <c r="P19" i="1"/>
  <c r="CC18" i="1"/>
  <c r="CB18" i="1"/>
  <c r="BC18" i="1"/>
  <c r="BB18" i="1"/>
  <c r="AC18" i="1"/>
  <c r="AB18" i="1"/>
  <c r="CC17" i="1"/>
  <c r="CB17" i="1"/>
  <c r="BC17" i="1"/>
  <c r="BB17" i="1"/>
  <c r="AC17" i="1"/>
  <c r="AB17" i="1"/>
  <c r="CC16" i="1"/>
  <c r="CB16" i="1"/>
  <c r="BC16" i="1"/>
  <c r="BB16" i="1"/>
  <c r="AC16" i="1"/>
  <c r="AB16" i="1"/>
  <c r="CC15" i="1"/>
  <c r="CB15" i="1"/>
  <c r="BC15" i="1"/>
  <c r="BB15" i="1"/>
  <c r="AC15" i="1"/>
  <c r="AB15" i="1"/>
  <c r="CC14" i="1"/>
  <c r="CB14" i="1"/>
  <c r="BC14" i="1"/>
  <c r="BB14" i="1"/>
  <c r="AC14" i="1"/>
  <c r="AB14" i="1"/>
  <c r="CC13" i="1"/>
  <c r="CB13" i="1"/>
  <c r="BC13" i="1"/>
  <c r="BB13" i="1"/>
  <c r="AC13" i="1"/>
  <c r="AB13" i="1"/>
  <c r="CC12" i="1"/>
  <c r="CB12" i="1"/>
  <c r="BC12" i="1"/>
  <c r="BB12" i="1"/>
  <c r="AC12" i="1"/>
  <c r="AB12" i="1"/>
  <c r="CC11" i="1"/>
  <c r="CB11" i="1"/>
  <c r="BC11" i="1"/>
  <c r="BB11" i="1"/>
  <c r="AC11" i="1"/>
  <c r="AB11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A9" i="1"/>
  <c r="Z9" i="1"/>
  <c r="Y9" i="1"/>
  <c r="X9" i="1"/>
  <c r="W9" i="1"/>
  <c r="V9" i="1"/>
  <c r="U9" i="1"/>
  <c r="T9" i="1"/>
  <c r="S9" i="1"/>
  <c r="R9" i="1"/>
  <c r="Q9" i="1"/>
  <c r="P9" i="1"/>
  <c r="CC8" i="1"/>
  <c r="CB8" i="1"/>
  <c r="BC8" i="1"/>
  <c r="BB8" i="1"/>
  <c r="AC8" i="1"/>
  <c r="AB8" i="1"/>
  <c r="CC7" i="1"/>
  <c r="CB7" i="1"/>
  <c r="BC7" i="1"/>
  <c r="BB7" i="1"/>
  <c r="AC7" i="1"/>
  <c r="AB7" i="1"/>
  <c r="CC6" i="1"/>
  <c r="CB6" i="1"/>
  <c r="BC6" i="1"/>
  <c r="BB6" i="1"/>
  <c r="AC6" i="1"/>
  <c r="AB6" i="1"/>
  <c r="CC5" i="1"/>
  <c r="CB5" i="1"/>
  <c r="BC5" i="1"/>
  <c r="BB5" i="1"/>
  <c r="AC5" i="1"/>
  <c r="AB5" i="1"/>
  <c r="CC4" i="1"/>
  <c r="CB4" i="1"/>
  <c r="BC4" i="1"/>
  <c r="BB4" i="1"/>
  <c r="AC4" i="1"/>
  <c r="AB4" i="1"/>
  <c r="CC3" i="1"/>
  <c r="CB3" i="1"/>
  <c r="BC3" i="1"/>
  <c r="BB3" i="1"/>
  <c r="AC3" i="1"/>
  <c r="AB3" i="1"/>
  <c r="M47" i="1" l="1"/>
  <c r="L47" i="1"/>
  <c r="J47" i="1"/>
  <c r="H47" i="1"/>
  <c r="K47" i="1"/>
  <c r="O47" i="1"/>
  <c r="N47" i="1"/>
  <c r="I47" i="1"/>
  <c r="AC45" i="1"/>
  <c r="CC45" i="1"/>
  <c r="CC19" i="1"/>
  <c r="AI47" i="1"/>
  <c r="AK47" i="1"/>
  <c r="AY47" i="1"/>
  <c r="AJ47" i="1"/>
  <c r="BR47" i="1"/>
  <c r="BS47" i="1"/>
  <c r="BO47" i="1"/>
  <c r="S47" i="1"/>
  <c r="BQ47" i="1"/>
  <c r="AZ47" i="1"/>
  <c r="BA47" i="1"/>
  <c r="BB45" i="1"/>
  <c r="T47" i="1"/>
  <c r="CC9" i="1"/>
  <c r="BC45" i="1"/>
  <c r="AL47" i="1"/>
  <c r="BT47" i="1"/>
  <c r="BZ47" i="1"/>
  <c r="BY47" i="1"/>
  <c r="BB19" i="1"/>
  <c r="BJ47" i="1"/>
  <c r="AS47" i="1"/>
  <c r="AD47" i="1"/>
  <c r="BM47" i="1"/>
  <c r="CB19" i="1"/>
  <c r="CC37" i="1"/>
  <c r="AB45" i="1"/>
  <c r="BU47" i="1"/>
  <c r="BB37" i="1"/>
  <c r="AW47" i="1"/>
  <c r="AN47" i="1"/>
  <c r="BV47" i="1"/>
  <c r="AH47" i="1"/>
  <c r="AO47" i="1"/>
  <c r="BH47" i="1"/>
  <c r="AB37" i="1"/>
  <c r="CB37" i="1"/>
  <c r="Y47" i="1"/>
  <c r="BI47" i="1"/>
  <c r="AT47" i="1"/>
  <c r="AV47" i="1"/>
  <c r="AM47" i="1"/>
  <c r="AG47" i="1"/>
  <c r="V47" i="1"/>
  <c r="AC37" i="1"/>
  <c r="W47" i="1"/>
  <c r="Q47" i="1"/>
  <c r="AR47" i="1"/>
  <c r="BC19" i="1"/>
  <c r="CA47" i="1"/>
  <c r="BL47" i="1"/>
  <c r="AU47" i="1"/>
  <c r="AF47" i="1"/>
  <c r="U47" i="1"/>
  <c r="BF47" i="1"/>
  <c r="P47" i="1"/>
  <c r="BG47" i="1"/>
  <c r="BX47" i="1"/>
  <c r="Z47" i="1"/>
  <c r="AB9" i="1"/>
  <c r="AA47" i="1"/>
  <c r="BB29" i="1"/>
  <c r="BC29" i="1"/>
  <c r="BK47" i="1"/>
  <c r="AC19" i="1"/>
  <c r="AE47" i="1"/>
  <c r="BC37" i="1"/>
  <c r="BN47" i="1"/>
  <c r="BE47" i="1"/>
  <c r="AX47" i="1"/>
  <c r="BW47" i="1"/>
  <c r="X47" i="1"/>
  <c r="AP47" i="1"/>
  <c r="CC29" i="1"/>
  <c r="R47" i="1"/>
  <c r="AQ47" i="1"/>
  <c r="AB29" i="1"/>
  <c r="AC29" i="1"/>
  <c r="CB29" i="1"/>
  <c r="CB45" i="1"/>
  <c r="BP47" i="1"/>
  <c r="CB9" i="1"/>
  <c r="BD47" i="1"/>
  <c r="BB9" i="1"/>
  <c r="BC9" i="1"/>
  <c r="AB19" i="1"/>
  <c r="AC9" i="1"/>
  <c r="BC47" i="1" l="1"/>
  <c r="AC47" i="1"/>
  <c r="BB47" i="1"/>
  <c r="AB47" i="1"/>
  <c r="CC47" i="1"/>
  <c r="CB47" i="1"/>
</calcChain>
</file>

<file path=xl/sharedStrings.xml><?xml version="1.0" encoding="utf-8"?>
<sst xmlns="http://schemas.openxmlformats.org/spreadsheetml/2006/main" count="169" uniqueCount="58">
  <si>
    <t>▼  Actual GMV</t>
  </si>
  <si>
    <t>◆  Target GMV</t>
  </si>
  <si>
    <t>Σ Actual</t>
  </si>
  <si>
    <t>Σ 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</si>
  <si>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</si>
  <si>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</si>
  <si>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</si>
  <si>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</si>
  <si>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</si>
  <si>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</si>
  <si>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</si>
  <si>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</si>
  <si>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</si>
  <si>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</si>
  <si>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</si>
  <si>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</si>
  <si>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</si>
  <si>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Amira Nagy</t>
  </si>
  <si>
    <t>CODATI UAE</t>
  </si>
  <si>
    <t>E.net</t>
  </si>
  <si>
    <t>EXTRA Showrooms</t>
  </si>
  <si>
    <t>Joker POS</t>
  </si>
  <si>
    <t>Muller &amp; Phipps(KGT)</t>
  </si>
  <si>
    <t>Thawani</t>
  </si>
  <si>
    <t>▸ SUBTOTAL</t>
  </si>
  <si>
    <t>Karim Hassan</t>
  </si>
  <si>
    <t>arabclicks company</t>
  </si>
  <si>
    <t>Cameo</t>
  </si>
  <si>
    <t>EasyPay card</t>
  </si>
  <si>
    <t>LA3EB</t>
  </si>
  <si>
    <t>Modern strore</t>
  </si>
  <si>
    <t>Modern Store</t>
  </si>
  <si>
    <t>Sultankoo</t>
  </si>
  <si>
    <t>Tech pro</t>
  </si>
  <si>
    <t>Mohamed Ibrahim</t>
  </si>
  <si>
    <t>Ahmed Almajrafi</t>
  </si>
  <si>
    <t>Alam Alpokemon</t>
  </si>
  <si>
    <t>DING</t>
  </si>
  <si>
    <t>Dtone</t>
  </si>
  <si>
    <t>Gifty Code</t>
  </si>
  <si>
    <t>Ibrahim Store</t>
  </si>
  <si>
    <t>GAMER SIDE</t>
  </si>
  <si>
    <t>Paythem</t>
  </si>
  <si>
    <t>Samar Elfangary</t>
  </si>
  <si>
    <t>EXTRA</t>
  </si>
  <si>
    <t>Hatim Website</t>
  </si>
  <si>
    <t>Merit</t>
  </si>
  <si>
    <t>Vega company</t>
  </si>
  <si>
    <t>Zarcony</t>
  </si>
  <si>
    <t>Almatar</t>
  </si>
  <si>
    <t>Thabet Zouriq</t>
  </si>
  <si>
    <t>CODATI KSA</t>
  </si>
  <si>
    <t>Emarket</t>
  </si>
  <si>
    <t>Sochitel</t>
  </si>
  <si>
    <t>User-cards</t>
  </si>
  <si>
    <t>YouGotaGift</t>
  </si>
  <si>
    <t>Codati KSA new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</si>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</sst>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Arial"/>
      <charset val="1"/>
    </font>
    <font>
      <b/>
      <sz val="9"/>
      <color rgb="FF1A4B78"/>
      <name val="Arial"/>
      <charset val="1"/>
    </font>
    <font>
      <b/>
      <sz val="9"/>
      <color rgb="FF164E2E"/>
      <name val="Arial"/>
      <charset val="1"/>
    </font>
    <font>
      <b/>
      <sz val="9"/>
      <color rgb="FF5C2E00"/>
      <name val="Arial"/>
      <charset val="1"/>
    </font>
    <font>
      <b/>
      <sz val="8"/>
      <color rgb="FFFFFFFF"/>
      <name val="Arial"/>
      <charset val="1"/>
    </font>
    <font>
      <b/>
      <sz val="8"/>
      <color rgb="FF1A4B78"/>
      <name val="Arial"/>
      <charset val="1"/>
    </font>
    <font>
      <b/>
      <sz val="8"/>
      <color rgb="FF164E2E"/>
      <name val="Arial"/>
      <charset val="1"/>
    </font>
    <font>
      <b/>
      <sz val="8"/>
      <color rgb="FF5C2E00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1A4B78"/>
        <bgColor rgb="FF174A73"/>
      </patternFill>
    </fill>
    <fill>
      <patternFill patternType="solid">
        <fgColor rgb="FFD6E9F8"/>
        <bgColor rgb="FFD5EDDF"/>
      </patternFill>
    </fill>
    <fill>
      <patternFill patternType="solid">
        <fgColor rgb="FF164E2E"/>
        <bgColor rgb="FF375623"/>
      </patternFill>
    </fill>
    <fill>
      <patternFill patternType="solid">
        <fgColor rgb="FFD5EDDF"/>
        <bgColor rgb="FFE2EFDA"/>
      </patternFill>
    </fill>
    <fill>
      <patternFill patternType="solid">
        <fgColor rgb="FF5C2E00"/>
        <bgColor rgb="FF7B2020"/>
      </patternFill>
    </fill>
    <fill>
      <patternFill patternType="solid">
        <fgColor rgb="FFFCE4D6"/>
        <bgColor rgb="FFFFDA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4B5"/>
        <bgColor rgb="FF2B6CA8"/>
      </patternFill>
    </fill>
    <fill>
      <patternFill patternType="solid">
        <fgColor rgb="FF1F3864"/>
        <bgColor rgb="FF174A73"/>
      </patternFill>
    </fill>
  </fills>
  <borders count="12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1A4B78"/>
      </left>
      <right/>
      <top style="thin">
        <color rgb="FF1A4B78"/>
      </top>
      <bottom style="thin">
        <color rgb="FF1A4B78"/>
      </bottom>
      <diagonal/>
    </border>
    <border>
      <left style="thin">
        <color rgb="FF1A4B78"/>
      </left>
      <right style="thin">
        <color rgb="FF1A4B78"/>
      </right>
      <top style="thin">
        <color rgb="FF1A4B78"/>
      </top>
      <bottom style="thin">
        <color rgb="FF1A4B78"/>
      </bottom>
      <diagonal/>
    </border>
    <border>
      <left style="thin">
        <color rgb="FF164E2E"/>
      </left>
      <right/>
      <top style="thin">
        <color rgb="FF164E2E"/>
      </top>
      <bottom style="thin">
        <color rgb="FF164E2E"/>
      </bottom>
      <diagonal/>
    </border>
    <border>
      <left style="thin">
        <color rgb="FF164E2E"/>
      </left>
      <right style="thin">
        <color rgb="FF164E2E"/>
      </right>
      <top style="thin">
        <color rgb="FF164E2E"/>
      </top>
      <bottom style="thin">
        <color rgb="FF164E2E"/>
      </bottom>
      <diagonal/>
    </border>
    <border>
      <left style="thin">
        <color rgb="FF5C2E00"/>
      </left>
      <right/>
      <top style="thin">
        <color rgb="FF5C2E00"/>
      </top>
      <bottom style="thin">
        <color rgb="FF5C2E00"/>
      </bottom>
      <diagonal/>
    </border>
    <border>
      <left style="thin">
        <color rgb="FF5C2E00"/>
      </left>
      <right style="thin">
        <color rgb="FF5C2E00"/>
      </right>
      <top style="thin">
        <color rgb="FF5C2E00"/>
      </top>
      <bottom style="thin">
        <color rgb="FF5C2E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1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left" vertical="center"/>
    </xf>
    <xf numFmtId="3" fontId="9" fillId="9" borderId="8" xfId="0" applyNumberFormat="1" applyFont="1" applyFill="1" applyBorder="1" applyAlignment="1">
      <alignment horizontal="right" vertical="center"/>
    </xf>
    <xf numFmtId="3" fontId="10" fillId="10" borderId="3" xfId="0" applyNumberFormat="1" applyFont="1" applyFill="1" applyBorder="1" applyAlignment="1">
      <alignment horizontal="right" vertical="center"/>
    </xf>
    <xf numFmtId="3" fontId="10" fillId="10" borderId="5" xfId="0" applyNumberFormat="1" applyFont="1" applyFill="1" applyBorder="1" applyAlignment="1">
      <alignment horizontal="right" vertical="center"/>
    </xf>
    <xf numFmtId="3" fontId="10" fillId="10" borderId="7" xfId="0" applyNumberFormat="1" applyFont="1" applyFill="1" applyBorder="1" applyAlignment="1">
      <alignment horizontal="right" vertical="center"/>
    </xf>
    <xf numFmtId="0" fontId="9" fillId="10" borderId="8" xfId="0" applyFont="1" applyFill="1" applyBorder="1" applyAlignment="1">
      <alignment horizontal="left" vertical="center"/>
    </xf>
    <xf numFmtId="3" fontId="9" fillId="10" borderId="8" xfId="0" applyNumberFormat="1" applyFont="1" applyFill="1" applyBorder="1" applyAlignment="1">
      <alignment horizontal="right" vertical="center"/>
    </xf>
    <xf numFmtId="0" fontId="1" fillId="11" borderId="9" xfId="0" applyFont="1" applyFill="1" applyBorder="1" applyAlignment="1">
      <alignment horizontal="left" vertical="center"/>
    </xf>
    <xf numFmtId="3" fontId="1" fillId="11" borderId="9" xfId="0" applyNumberFormat="1" applyFont="1" applyFill="1" applyBorder="1" applyAlignment="1">
      <alignment horizontal="right" vertical="center"/>
    </xf>
    <xf numFmtId="0" fontId="11" fillId="12" borderId="10" xfId="0" applyFont="1" applyFill="1" applyBorder="1" applyAlignment="1">
      <alignment horizontal="center" vertical="center"/>
    </xf>
    <xf numFmtId="3" fontId="1" fillId="12" borderId="1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7"/>
  <sheetViews>
    <sheetView tabSelected="1" workbookViewId="0">
      <selection activeCell="P1" sqref="P1"/>
    </sheetView>
  </sheetViews>
  <sheetFormatPr defaultColWidth="9.7109375" defaultRowHeight="15" x14ac:dyDescent="0.25"/>
  <cols>
    <col min="1" max="2" width="20.5703125" customWidth="1"/>
    <col min="3" max="3" width="25.140625" customWidth="1"/>
    <col min="4" max="27" width="12.5703125" customWidth="1"/>
    <col min="28" max="29" width="14.85546875" customWidth="1"/>
    <col min="30" max="53" width="12.5703125" customWidth="1"/>
    <col min="54" max="55" width="14.85546875" customWidth="1"/>
    <col min="56" max="79" width="12.5703125" customWidth="1"/>
    <col min="80" max="81" width="14.85546875" customWidth="1"/>
  </cols>
  <sheetData>
    <row r="1" spans="1:81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 t="s">
        <v>2</v>
      </c>
      <c r="AC1" s="5" t="s">
        <v>3</v>
      </c>
      <c r="AD1" s="6" t="s">
        <v>0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7" t="s">
        <v>1</v>
      </c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8" t="s">
        <v>2</v>
      </c>
      <c r="BC1" s="9" t="s">
        <v>3</v>
      </c>
      <c r="BD1" s="10" t="s">
        <v>0</v>
      </c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1" t="s">
        <v>1</v>
      </c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2" t="s">
        <v>2</v>
      </c>
      <c r="CC1" s="13" t="s">
        <v>3</v>
      </c>
    </row>
    <row r="2" spans="1:81" x14ac:dyDescent="0.25">
      <c r="A2" s="1"/>
      <c r="B2" s="1"/>
      <c r="C2" s="1"/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5" t="s">
        <v>4</v>
      </c>
      <c r="Q2" s="15" t="s">
        <v>5</v>
      </c>
      <c r="R2" s="15" t="s">
        <v>6</v>
      </c>
      <c r="S2" s="15" t="s">
        <v>7</v>
      </c>
      <c r="T2" s="15" t="s">
        <v>8</v>
      </c>
      <c r="U2" s="15" t="s">
        <v>9</v>
      </c>
      <c r="V2" s="15" t="s">
        <v>10</v>
      </c>
      <c r="W2" s="15" t="s">
        <v>11</v>
      </c>
      <c r="X2" s="15" t="s">
        <v>12</v>
      </c>
      <c r="Y2" s="15" t="s">
        <v>13</v>
      </c>
      <c r="Z2" s="15" t="s">
        <v>14</v>
      </c>
      <c r="AA2" s="15" t="s">
        <v>15</v>
      </c>
      <c r="AB2" s="14" t="s">
        <v>16</v>
      </c>
      <c r="AC2" s="15" t="s">
        <v>16</v>
      </c>
      <c r="AD2" s="16" t="s">
        <v>4</v>
      </c>
      <c r="AE2" s="16" t="s">
        <v>5</v>
      </c>
      <c r="AF2" s="16" t="s">
        <v>6</v>
      </c>
      <c r="AG2" s="16" t="s">
        <v>7</v>
      </c>
      <c r="AH2" s="16" t="s">
        <v>8</v>
      </c>
      <c r="AI2" s="16" t="s">
        <v>9</v>
      </c>
      <c r="AJ2" s="16" t="s">
        <v>10</v>
      </c>
      <c r="AK2" s="16" t="s">
        <v>11</v>
      </c>
      <c r="AL2" s="16" t="s">
        <v>12</v>
      </c>
      <c r="AM2" s="16" t="s">
        <v>13</v>
      </c>
      <c r="AN2" s="16" t="s">
        <v>14</v>
      </c>
      <c r="AO2" s="16" t="s">
        <v>15</v>
      </c>
      <c r="AP2" s="17" t="s">
        <v>4</v>
      </c>
      <c r="AQ2" s="17" t="s">
        <v>5</v>
      </c>
      <c r="AR2" s="17" t="s">
        <v>6</v>
      </c>
      <c r="AS2" s="17" t="s">
        <v>7</v>
      </c>
      <c r="AT2" s="17" t="s">
        <v>8</v>
      </c>
      <c r="AU2" s="17" t="s">
        <v>9</v>
      </c>
      <c r="AV2" s="17" t="s">
        <v>10</v>
      </c>
      <c r="AW2" s="17" t="s">
        <v>11</v>
      </c>
      <c r="AX2" s="17" t="s">
        <v>12</v>
      </c>
      <c r="AY2" s="17" t="s">
        <v>13</v>
      </c>
      <c r="AZ2" s="17" t="s">
        <v>14</v>
      </c>
      <c r="BA2" s="17" t="s">
        <v>15</v>
      </c>
      <c r="BB2" s="16" t="s">
        <v>16</v>
      </c>
      <c r="BC2" s="17" t="s">
        <v>16</v>
      </c>
      <c r="BD2" s="18" t="s">
        <v>4</v>
      </c>
      <c r="BE2" s="18" t="s">
        <v>5</v>
      </c>
      <c r="BF2" s="18" t="s">
        <v>6</v>
      </c>
      <c r="BG2" s="18" t="s">
        <v>7</v>
      </c>
      <c r="BH2" s="18" t="s">
        <v>8</v>
      </c>
      <c r="BI2" s="18" t="s">
        <v>9</v>
      </c>
      <c r="BJ2" s="18" t="s">
        <v>10</v>
      </c>
      <c r="BK2" s="18" t="s">
        <v>11</v>
      </c>
      <c r="BL2" s="18" t="s">
        <v>12</v>
      </c>
      <c r="BM2" s="18" t="s">
        <v>13</v>
      </c>
      <c r="BN2" s="18" t="s">
        <v>14</v>
      </c>
      <c r="BO2" s="18" t="s">
        <v>15</v>
      </c>
      <c r="BP2" s="19" t="s">
        <v>4</v>
      </c>
      <c r="BQ2" s="19" t="s">
        <v>5</v>
      </c>
      <c r="BR2" s="19" t="s">
        <v>6</v>
      </c>
      <c r="BS2" s="19" t="s">
        <v>7</v>
      </c>
      <c r="BT2" s="19" t="s">
        <v>8</v>
      </c>
      <c r="BU2" s="19" t="s">
        <v>9</v>
      </c>
      <c r="BV2" s="19" t="s">
        <v>10</v>
      </c>
      <c r="BW2" s="19" t="s">
        <v>11</v>
      </c>
      <c r="BX2" s="19" t="s">
        <v>12</v>
      </c>
      <c r="BY2" s="19" t="s">
        <v>13</v>
      </c>
      <c r="BZ2" s="19" t="s">
        <v>14</v>
      </c>
      <c r="CA2" s="19" t="s">
        <v>15</v>
      </c>
      <c r="CB2" s="18" t="s">
        <v>16</v>
      </c>
      <c r="CC2" s="19" t="s">
        <v>16</v>
      </c>
    </row>
    <row r="3" spans="1:81" x14ac:dyDescent="0.25">
      <c r="A3" s="20" t="s">
        <v>17</v>
      </c>
      <c r="B3" s="20"/>
      <c r="C3" s="20" t="s">
        <v>18</v>
      </c>
      <c r="D3" s="21">
        <v>381211.31</v>
      </c>
      <c r="E3" s="21">
        <v>350667.35</v>
      </c>
      <c r="F3" s="21">
        <v>363013.88</v>
      </c>
      <c r="G3" s="21">
        <v>335707.22</v>
      </c>
      <c r="H3" s="21">
        <v>390126.31</v>
      </c>
      <c r="I3" s="21">
        <v>416608.02</v>
      </c>
      <c r="J3" s="21">
        <v>412801.44</v>
      </c>
      <c r="K3" s="21">
        <v>429787.77</v>
      </c>
      <c r="L3" s="21">
        <v>461198.2</v>
      </c>
      <c r="M3" s="21">
        <v>456549.99</v>
      </c>
      <c r="N3" s="21">
        <v>560290.73</v>
      </c>
      <c r="O3" s="21">
        <v>581314.94999999995</v>
      </c>
      <c r="P3" s="21">
        <v>177848.92</v>
      </c>
      <c r="Q3" s="21">
        <v>163599.04999999999</v>
      </c>
      <c r="R3" s="21">
        <v>169359.15</v>
      </c>
      <c r="S3" s="21">
        <v>156619.60999999999</v>
      </c>
      <c r="T3" s="21">
        <v>182008.09</v>
      </c>
      <c r="U3" s="21">
        <v>194362.77</v>
      </c>
      <c r="V3" s="21">
        <v>192586.86</v>
      </c>
      <c r="W3" s="21">
        <v>200511.6</v>
      </c>
      <c r="X3" s="21">
        <v>215165.7</v>
      </c>
      <c r="Y3" s="21">
        <v>212997.14</v>
      </c>
      <c r="Z3" s="21">
        <v>261395.97</v>
      </c>
      <c r="AA3" s="21">
        <v>271204.52</v>
      </c>
      <c r="AB3" s="22">
        <f>SUM(D3:AA3)</f>
        <v>7536936.5500000007</v>
      </c>
      <c r="AC3" s="22">
        <f>SUM(D3:AA3)</f>
        <v>7536936.5500000007</v>
      </c>
      <c r="AD3" s="21">
        <v>8531.8799999999992</v>
      </c>
      <c r="AE3" s="21">
        <v>7775.11</v>
      </c>
      <c r="AF3" s="21">
        <v>9199.94</v>
      </c>
      <c r="AG3" s="21">
        <v>7681.73</v>
      </c>
      <c r="AH3" s="21">
        <v>8950.84</v>
      </c>
      <c r="AI3" s="21">
        <v>10044.219999999999</v>
      </c>
      <c r="AJ3" s="21">
        <v>10154.67</v>
      </c>
      <c r="AK3" s="21">
        <v>9384.85</v>
      </c>
      <c r="AL3" s="21">
        <v>10171.5</v>
      </c>
      <c r="AM3" s="21">
        <v>12513.84</v>
      </c>
      <c r="AN3" s="21">
        <v>13095.01</v>
      </c>
      <c r="AO3" s="21">
        <v>13244.55</v>
      </c>
      <c r="AP3" s="21">
        <v>8060.14</v>
      </c>
      <c r="AQ3" s="21">
        <v>6870.89</v>
      </c>
      <c r="AR3" s="21">
        <v>7556.11</v>
      </c>
      <c r="AS3" s="21">
        <v>7257.4</v>
      </c>
      <c r="AT3" s="21">
        <v>7716.94</v>
      </c>
      <c r="AU3" s="21">
        <v>9428.7000000000007</v>
      </c>
      <c r="AV3" s="21">
        <v>8654.4500000000007</v>
      </c>
      <c r="AW3" s="21">
        <v>10794.51</v>
      </c>
      <c r="AX3" s="21">
        <v>11201.52</v>
      </c>
      <c r="AY3" s="21">
        <v>9732.0300000000007</v>
      </c>
      <c r="AZ3" s="21">
        <v>10816.96</v>
      </c>
      <c r="BA3" s="21">
        <v>13734.74</v>
      </c>
      <c r="BB3" s="23">
        <f t="shared" ref="BB3:BB9" si="0">SUM(AD3:AO3)</f>
        <v>120748.14</v>
      </c>
      <c r="BC3" s="23">
        <f t="shared" ref="BC3:BC9" si="1">SUM(AP3:BA3)</f>
        <v>111824.39</v>
      </c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4">
        <f t="shared" ref="CB3:CB9" si="2">SUM(BD3:BO3)</f>
        <v>0</v>
      </c>
      <c r="CC3" s="24">
        <f t="shared" ref="CC3:CC9" si="3">SUM(BP3:CA3)</f>
        <v>0</v>
      </c>
    </row>
    <row r="4" spans="1:81" x14ac:dyDescent="0.25">
      <c r="A4" s="25" t="s">
        <v>17</v>
      </c>
      <c r="B4" s="25"/>
      <c r="C4" s="25" t="s">
        <v>19</v>
      </c>
      <c r="D4" s="26">
        <v>70457.37</v>
      </c>
      <c r="E4" s="26">
        <v>64812.08</v>
      </c>
      <c r="F4" s="26">
        <v>67094.03</v>
      </c>
      <c r="G4" s="26">
        <v>62047.08</v>
      </c>
      <c r="H4" s="26">
        <v>72105.08</v>
      </c>
      <c r="I4" s="26">
        <v>76999.570000000007</v>
      </c>
      <c r="J4" s="26">
        <v>76296.009999999995</v>
      </c>
      <c r="K4" s="26">
        <v>79435.509999999995</v>
      </c>
      <c r="L4" s="26">
        <v>85240.94</v>
      </c>
      <c r="M4" s="26">
        <v>84381.84</v>
      </c>
      <c r="N4" s="26">
        <v>103555.72</v>
      </c>
      <c r="O4" s="26">
        <v>107441.53</v>
      </c>
      <c r="P4" s="26">
        <v>48210.68</v>
      </c>
      <c r="Q4" s="26">
        <v>44347.88</v>
      </c>
      <c r="R4" s="26">
        <v>45909.31</v>
      </c>
      <c r="S4" s="26">
        <v>42455.91</v>
      </c>
      <c r="T4" s="26">
        <v>49338.14</v>
      </c>
      <c r="U4" s="26">
        <v>52687.199999999997</v>
      </c>
      <c r="V4" s="26">
        <v>52205.8</v>
      </c>
      <c r="W4" s="26">
        <v>54354.01</v>
      </c>
      <c r="X4" s="26">
        <v>58326.39</v>
      </c>
      <c r="Y4" s="26">
        <v>57738.55</v>
      </c>
      <c r="Z4" s="26">
        <v>70858.34</v>
      </c>
      <c r="AA4" s="26">
        <v>73517.2</v>
      </c>
      <c r="AB4" s="22">
        <f>SUM(D4:AA4)</f>
        <v>1599816.1699999997</v>
      </c>
      <c r="AC4" s="22">
        <f>SUM(D4:AA4)</f>
        <v>1599816.1699999997</v>
      </c>
      <c r="AD4" s="26">
        <v>70119.77</v>
      </c>
      <c r="AE4" s="26">
        <v>63900.15</v>
      </c>
      <c r="AF4" s="26">
        <v>75610.240000000005</v>
      </c>
      <c r="AG4" s="26">
        <v>63132.76</v>
      </c>
      <c r="AH4" s="26">
        <v>73562.960000000006</v>
      </c>
      <c r="AI4" s="26">
        <v>82549.03</v>
      </c>
      <c r="AJ4" s="26">
        <v>83456.7</v>
      </c>
      <c r="AK4" s="26">
        <v>77129.95</v>
      </c>
      <c r="AL4" s="26">
        <v>83595.070000000007</v>
      </c>
      <c r="AM4" s="26">
        <v>102845.69</v>
      </c>
      <c r="AN4" s="26">
        <v>107622.11</v>
      </c>
      <c r="AO4" s="26">
        <v>108851.11</v>
      </c>
      <c r="AP4" s="26">
        <v>86943.62</v>
      </c>
      <c r="AQ4" s="26">
        <v>74115.3</v>
      </c>
      <c r="AR4" s="26">
        <v>81506.649999999994</v>
      </c>
      <c r="AS4" s="26">
        <v>78284.58</v>
      </c>
      <c r="AT4" s="26">
        <v>83241.55</v>
      </c>
      <c r="AU4" s="26">
        <v>101706.03</v>
      </c>
      <c r="AV4" s="26">
        <v>93354.31</v>
      </c>
      <c r="AW4" s="26">
        <v>116438.78</v>
      </c>
      <c r="AX4" s="26">
        <v>120829.22</v>
      </c>
      <c r="AY4" s="26">
        <v>104977.99</v>
      </c>
      <c r="AZ4" s="26">
        <v>116680.99</v>
      </c>
      <c r="BA4" s="26">
        <v>148154.66</v>
      </c>
      <c r="BB4" s="23">
        <f t="shared" si="0"/>
        <v>992375.54</v>
      </c>
      <c r="BC4" s="23">
        <f t="shared" si="1"/>
        <v>1206233.68</v>
      </c>
      <c r="BD4" s="26">
        <v>32499.27</v>
      </c>
      <c r="BE4" s="26">
        <v>30336.77</v>
      </c>
      <c r="BF4" s="26">
        <v>31526.639999999999</v>
      </c>
      <c r="BG4" s="26">
        <v>33607.25</v>
      </c>
      <c r="BH4" s="26">
        <v>30743.59</v>
      </c>
      <c r="BI4" s="26">
        <v>37779.089999999997</v>
      </c>
      <c r="BJ4" s="26">
        <v>40895.39</v>
      </c>
      <c r="BK4" s="26">
        <v>35434.199999999997</v>
      </c>
      <c r="BL4" s="26">
        <v>37130.980000000003</v>
      </c>
      <c r="BM4" s="26">
        <v>41693.879999999997</v>
      </c>
      <c r="BN4" s="26">
        <v>53539.98</v>
      </c>
      <c r="BO4" s="26">
        <v>55575.19</v>
      </c>
      <c r="BP4" s="26">
        <v>67997.48</v>
      </c>
      <c r="BQ4" s="26">
        <v>52514.49</v>
      </c>
      <c r="BR4" s="26">
        <v>65247.72</v>
      </c>
      <c r="BS4" s="26">
        <v>68406.38</v>
      </c>
      <c r="BT4" s="26">
        <v>70913.98</v>
      </c>
      <c r="BU4" s="26">
        <v>62037.67</v>
      </c>
      <c r="BV4" s="26">
        <v>76726.52</v>
      </c>
      <c r="BW4" s="26">
        <v>75298.39</v>
      </c>
      <c r="BX4" s="26">
        <v>85352.23</v>
      </c>
      <c r="BY4" s="26">
        <v>89254.32</v>
      </c>
      <c r="BZ4" s="26">
        <v>93510.06</v>
      </c>
      <c r="CA4" s="26">
        <v>100727.77</v>
      </c>
      <c r="CB4" s="24">
        <f t="shared" si="2"/>
        <v>460762.23</v>
      </c>
      <c r="CC4" s="24">
        <f t="shared" si="3"/>
        <v>907987.01</v>
      </c>
    </row>
    <row r="5" spans="1:81" x14ac:dyDescent="0.25">
      <c r="A5" s="20" t="s">
        <v>17</v>
      </c>
      <c r="B5" s="20"/>
      <c r="C5" s="20" t="s">
        <v>20</v>
      </c>
      <c r="D5" s="21">
        <v>4030.12</v>
      </c>
      <c r="E5" s="21">
        <v>3707.21</v>
      </c>
      <c r="F5" s="21">
        <v>3837.74</v>
      </c>
      <c r="G5" s="21">
        <v>3549.06</v>
      </c>
      <c r="H5" s="21">
        <v>4124.37</v>
      </c>
      <c r="I5" s="21">
        <v>4404.33</v>
      </c>
      <c r="J5" s="21">
        <v>4364.09</v>
      </c>
      <c r="K5" s="21">
        <v>4543.66</v>
      </c>
      <c r="L5" s="21">
        <v>4875.7299999999996</v>
      </c>
      <c r="M5" s="21">
        <v>4826.59</v>
      </c>
      <c r="N5" s="21">
        <v>5923.33</v>
      </c>
      <c r="O5" s="21">
        <v>6145.58</v>
      </c>
      <c r="P5" s="21">
        <v>2005.54</v>
      </c>
      <c r="Q5" s="21">
        <v>1844.85</v>
      </c>
      <c r="R5" s="21">
        <v>1909.81</v>
      </c>
      <c r="S5" s="21">
        <v>1766.15</v>
      </c>
      <c r="T5" s="21">
        <v>2052.4499999999998</v>
      </c>
      <c r="U5" s="21">
        <v>2191.7600000000002</v>
      </c>
      <c r="V5" s="21">
        <v>2171.7399999999998</v>
      </c>
      <c r="W5" s="21">
        <v>2261.1</v>
      </c>
      <c r="X5" s="21">
        <v>2426.35</v>
      </c>
      <c r="Y5" s="21">
        <v>2401.9</v>
      </c>
      <c r="Z5" s="21">
        <v>2947.68</v>
      </c>
      <c r="AA5" s="21">
        <v>3058.28</v>
      </c>
      <c r="AB5" s="22">
        <f>SUM(D5:AA5)</f>
        <v>81369.42</v>
      </c>
      <c r="AC5" s="22">
        <f>SUM(D5:AA5)</f>
        <v>81369.42</v>
      </c>
      <c r="AD5" s="21">
        <v>10972.04</v>
      </c>
      <c r="AE5" s="21">
        <v>9998.82</v>
      </c>
      <c r="AF5" s="21">
        <v>11831.17</v>
      </c>
      <c r="AG5" s="21">
        <v>9878.75</v>
      </c>
      <c r="AH5" s="21">
        <v>11510.82</v>
      </c>
      <c r="AI5" s="21">
        <v>12916.92</v>
      </c>
      <c r="AJ5" s="21">
        <v>13058.95</v>
      </c>
      <c r="AK5" s="21">
        <v>12068.97</v>
      </c>
      <c r="AL5" s="21">
        <v>13080.6</v>
      </c>
      <c r="AM5" s="21">
        <v>16092.85</v>
      </c>
      <c r="AN5" s="21">
        <v>16840.25</v>
      </c>
      <c r="AO5" s="21">
        <v>17032.55</v>
      </c>
      <c r="AP5" s="21">
        <v>11013.22</v>
      </c>
      <c r="AQ5" s="21">
        <v>9388.25</v>
      </c>
      <c r="AR5" s="21">
        <v>10324.52</v>
      </c>
      <c r="AS5" s="21">
        <v>9916.3700000000008</v>
      </c>
      <c r="AT5" s="21">
        <v>10544.28</v>
      </c>
      <c r="AU5" s="21">
        <v>12883.19</v>
      </c>
      <c r="AV5" s="21">
        <v>11825.27</v>
      </c>
      <c r="AW5" s="21">
        <v>14749.4</v>
      </c>
      <c r="AX5" s="21">
        <v>15305.54</v>
      </c>
      <c r="AY5" s="21">
        <v>13297.65</v>
      </c>
      <c r="AZ5" s="21">
        <v>14780.08</v>
      </c>
      <c r="BA5" s="21">
        <v>18766.849999999999</v>
      </c>
      <c r="BB5" s="23">
        <f t="shared" si="0"/>
        <v>155282.69</v>
      </c>
      <c r="BC5" s="23">
        <f t="shared" si="1"/>
        <v>152794.62</v>
      </c>
      <c r="BD5" s="21">
        <v>11319.69</v>
      </c>
      <c r="BE5" s="21">
        <v>10566.48</v>
      </c>
      <c r="BF5" s="21">
        <v>10980.92</v>
      </c>
      <c r="BG5" s="21">
        <v>11705.61</v>
      </c>
      <c r="BH5" s="21">
        <v>10708.18</v>
      </c>
      <c r="BI5" s="21">
        <v>13158.69</v>
      </c>
      <c r="BJ5" s="21">
        <v>14244.11</v>
      </c>
      <c r="BK5" s="21">
        <v>12341.95</v>
      </c>
      <c r="BL5" s="21">
        <v>12932.95</v>
      </c>
      <c r="BM5" s="21">
        <v>14522.23</v>
      </c>
      <c r="BN5" s="21">
        <v>18648.3</v>
      </c>
      <c r="BO5" s="21">
        <v>19357.21</v>
      </c>
      <c r="BP5" s="21">
        <v>18301.23</v>
      </c>
      <c r="BQ5" s="21">
        <v>14134.05</v>
      </c>
      <c r="BR5" s="21">
        <v>17561.14</v>
      </c>
      <c r="BS5" s="21">
        <v>18411.28</v>
      </c>
      <c r="BT5" s="21">
        <v>19086.189999999999</v>
      </c>
      <c r="BU5" s="21">
        <v>16697.169999999998</v>
      </c>
      <c r="BV5" s="21">
        <v>20650.61</v>
      </c>
      <c r="BW5" s="21">
        <v>20266.240000000002</v>
      </c>
      <c r="BX5" s="21">
        <v>22972.18</v>
      </c>
      <c r="BY5" s="21">
        <v>24022.41</v>
      </c>
      <c r="BZ5" s="21">
        <v>25167.83</v>
      </c>
      <c r="CA5" s="21">
        <v>27110.43</v>
      </c>
      <c r="CB5" s="24">
        <f t="shared" si="2"/>
        <v>160486.31999999998</v>
      </c>
      <c r="CC5" s="24">
        <f t="shared" si="3"/>
        <v>244380.76</v>
      </c>
    </row>
    <row r="6" spans="1:81" x14ac:dyDescent="0.25">
      <c r="A6" s="25" t="s">
        <v>17</v>
      </c>
      <c r="B6" s="25"/>
      <c r="C6" s="25" t="s">
        <v>21</v>
      </c>
      <c r="D6" s="26">
        <v>257.47000000000003</v>
      </c>
      <c r="E6" s="26">
        <v>236.84</v>
      </c>
      <c r="F6" s="26">
        <v>245.17</v>
      </c>
      <c r="G6" s="26">
        <v>226.73</v>
      </c>
      <c r="H6" s="26">
        <v>263.49</v>
      </c>
      <c r="I6" s="26">
        <v>281.37</v>
      </c>
      <c r="J6" s="26">
        <v>278.8</v>
      </c>
      <c r="K6" s="26">
        <v>290.27</v>
      </c>
      <c r="L6" s="26">
        <v>311.49</v>
      </c>
      <c r="M6" s="26">
        <v>308.35000000000002</v>
      </c>
      <c r="N6" s="26">
        <v>378.41</v>
      </c>
      <c r="O6" s="26">
        <v>392.61</v>
      </c>
      <c r="P6" s="26">
        <v>208.2</v>
      </c>
      <c r="Q6" s="26">
        <v>191.52</v>
      </c>
      <c r="R6" s="26">
        <v>198.26</v>
      </c>
      <c r="S6" s="26">
        <v>183.35</v>
      </c>
      <c r="T6" s="26">
        <v>213.07</v>
      </c>
      <c r="U6" s="26">
        <v>227.53</v>
      </c>
      <c r="V6" s="26">
        <v>225.46</v>
      </c>
      <c r="W6" s="26">
        <v>234.73</v>
      </c>
      <c r="X6" s="26">
        <v>251.89</v>
      </c>
      <c r="Y6" s="26">
        <v>249.35</v>
      </c>
      <c r="Z6" s="26">
        <v>306.01</v>
      </c>
      <c r="AA6" s="26">
        <v>317.5</v>
      </c>
      <c r="AB6" s="22">
        <f>SUM(D6:AA6)</f>
        <v>6277.87</v>
      </c>
      <c r="AC6" s="22">
        <f>SUM(D6:AA6)</f>
        <v>6277.87</v>
      </c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3">
        <f t="shared" si="0"/>
        <v>0</v>
      </c>
      <c r="BC6" s="23">
        <f t="shared" si="1"/>
        <v>0</v>
      </c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4">
        <f t="shared" si="2"/>
        <v>0</v>
      </c>
      <c r="CC6" s="24">
        <f t="shared" si="3"/>
        <v>0</v>
      </c>
    </row>
    <row r="7" spans="1:81" x14ac:dyDescent="0.25">
      <c r="A7" s="20" t="s">
        <v>17</v>
      </c>
      <c r="B7" s="20"/>
      <c r="C7" s="20" t="s">
        <v>22</v>
      </c>
      <c r="D7" s="21">
        <v>362046.78</v>
      </c>
      <c r="E7" s="21">
        <v>333038.34000000003</v>
      </c>
      <c r="F7" s="21">
        <v>344764.18</v>
      </c>
      <c r="G7" s="21">
        <v>318830.31</v>
      </c>
      <c r="H7" s="21">
        <v>370513.6</v>
      </c>
      <c r="I7" s="21">
        <v>395664</v>
      </c>
      <c r="J7" s="21">
        <v>392048.78</v>
      </c>
      <c r="K7" s="21">
        <v>408181.17</v>
      </c>
      <c r="L7" s="21">
        <v>438012.51</v>
      </c>
      <c r="M7" s="21">
        <v>433597.97</v>
      </c>
      <c r="N7" s="21">
        <v>532123.39</v>
      </c>
      <c r="O7" s="21">
        <v>552090.66</v>
      </c>
      <c r="P7" s="21">
        <v>157647.44</v>
      </c>
      <c r="Q7" s="21">
        <v>145016.18</v>
      </c>
      <c r="R7" s="21">
        <v>150122.01</v>
      </c>
      <c r="S7" s="21">
        <v>138829.51999999999</v>
      </c>
      <c r="T7" s="21">
        <v>161334.17000000001</v>
      </c>
      <c r="U7" s="21">
        <v>172285.51</v>
      </c>
      <c r="V7" s="21">
        <v>170711.32</v>
      </c>
      <c r="W7" s="21">
        <v>177735.91</v>
      </c>
      <c r="X7" s="21">
        <v>190725.49</v>
      </c>
      <c r="Y7" s="21">
        <v>188803.25</v>
      </c>
      <c r="Z7" s="21">
        <v>231704.56</v>
      </c>
      <c r="AA7" s="21">
        <v>240398.98</v>
      </c>
      <c r="AB7" s="22">
        <f>SUM(D7:AA7)</f>
        <v>7006226.0299999993</v>
      </c>
      <c r="AC7" s="22">
        <f>SUM(D7:AA7)</f>
        <v>7006226.0299999993</v>
      </c>
      <c r="AD7" s="21">
        <v>568522.06999999995</v>
      </c>
      <c r="AE7" s="21">
        <v>518094.24</v>
      </c>
      <c r="AF7" s="21">
        <v>613038.09</v>
      </c>
      <c r="AG7" s="21">
        <v>511872.33</v>
      </c>
      <c r="AH7" s="21">
        <v>596438.99</v>
      </c>
      <c r="AI7" s="21">
        <v>669296.91</v>
      </c>
      <c r="AJ7" s="21">
        <v>676656.23</v>
      </c>
      <c r="AK7" s="21">
        <v>625359.71</v>
      </c>
      <c r="AL7" s="21">
        <v>677778.06</v>
      </c>
      <c r="AM7" s="21">
        <v>833859.62</v>
      </c>
      <c r="AN7" s="21">
        <v>872586.2</v>
      </c>
      <c r="AO7" s="21">
        <v>882550.84</v>
      </c>
      <c r="AP7" s="21">
        <v>537087.74</v>
      </c>
      <c r="AQ7" s="21">
        <v>457841.78</v>
      </c>
      <c r="AR7" s="21">
        <v>503501.3</v>
      </c>
      <c r="AS7" s="21">
        <v>483597.19</v>
      </c>
      <c r="AT7" s="21">
        <v>514218.5</v>
      </c>
      <c r="AU7" s="21">
        <v>628281.49</v>
      </c>
      <c r="AV7" s="21">
        <v>576689.31999999995</v>
      </c>
      <c r="AW7" s="21">
        <v>719291.96</v>
      </c>
      <c r="AX7" s="21">
        <v>746413.53</v>
      </c>
      <c r="AY7" s="21">
        <v>648493.72</v>
      </c>
      <c r="AZ7" s="21">
        <v>720788.16</v>
      </c>
      <c r="BA7" s="21">
        <v>915214.46</v>
      </c>
      <c r="BB7" s="23">
        <f t="shared" si="0"/>
        <v>8046053.290000001</v>
      </c>
      <c r="BC7" s="23">
        <f t="shared" si="1"/>
        <v>7451419.1499999994</v>
      </c>
      <c r="BD7" s="21">
        <v>518277.45</v>
      </c>
      <c r="BE7" s="21">
        <v>483791.38</v>
      </c>
      <c r="BF7" s="21">
        <v>502766.71</v>
      </c>
      <c r="BG7" s="21">
        <v>535946.89</v>
      </c>
      <c r="BH7" s="21">
        <v>490279.07</v>
      </c>
      <c r="BI7" s="21">
        <v>602476.64</v>
      </c>
      <c r="BJ7" s="21">
        <v>652173.43000000005</v>
      </c>
      <c r="BK7" s="21">
        <v>565081.82999999996</v>
      </c>
      <c r="BL7" s="21">
        <v>592141</v>
      </c>
      <c r="BM7" s="21">
        <v>664907.28</v>
      </c>
      <c r="BN7" s="21">
        <v>853821.27</v>
      </c>
      <c r="BO7" s="21">
        <v>886277.81</v>
      </c>
      <c r="BP7" s="21">
        <v>837930.22</v>
      </c>
      <c r="BQ7" s="21">
        <v>647133.86</v>
      </c>
      <c r="BR7" s="21">
        <v>804044.96</v>
      </c>
      <c r="BS7" s="21">
        <v>842968.98</v>
      </c>
      <c r="BT7" s="21">
        <v>873870.12</v>
      </c>
      <c r="BU7" s="21">
        <v>764487.66</v>
      </c>
      <c r="BV7" s="21">
        <v>945497.78</v>
      </c>
      <c r="BW7" s="21">
        <v>927899</v>
      </c>
      <c r="BX7" s="21">
        <v>1051792.07</v>
      </c>
      <c r="BY7" s="21">
        <v>1099877.29</v>
      </c>
      <c r="BZ7" s="21">
        <v>1152320.6100000001</v>
      </c>
      <c r="CA7" s="21">
        <v>1241264.33</v>
      </c>
      <c r="CB7" s="24">
        <f t="shared" si="2"/>
        <v>7347940.7600000016</v>
      </c>
      <c r="CC7" s="24">
        <f t="shared" si="3"/>
        <v>11189086.880000001</v>
      </c>
    </row>
    <row r="8" spans="1:81" x14ac:dyDescent="0.25">
      <c r="A8" s="25" t="s">
        <v>17</v>
      </c>
      <c r="B8" s="25"/>
      <c r="C8" s="25" t="s">
        <v>23</v>
      </c>
      <c r="D8" s="26">
        <v>12846.86</v>
      </c>
      <c r="E8" s="26">
        <v>11817.53</v>
      </c>
      <c r="F8" s="26">
        <v>12233.61</v>
      </c>
      <c r="G8" s="26">
        <v>11313.37</v>
      </c>
      <c r="H8" s="26">
        <v>13147.3</v>
      </c>
      <c r="I8" s="26">
        <v>14039.74</v>
      </c>
      <c r="J8" s="26">
        <v>13911.45</v>
      </c>
      <c r="K8" s="26">
        <v>14483.9</v>
      </c>
      <c r="L8" s="26">
        <v>15542.43</v>
      </c>
      <c r="M8" s="26">
        <v>15385.79</v>
      </c>
      <c r="N8" s="26">
        <v>18881.86</v>
      </c>
      <c r="O8" s="26">
        <v>19590.37</v>
      </c>
      <c r="P8" s="26">
        <v>7192.23</v>
      </c>
      <c r="Q8" s="26">
        <v>6615.97</v>
      </c>
      <c r="R8" s="26">
        <v>6848.91</v>
      </c>
      <c r="S8" s="26">
        <v>6333.72</v>
      </c>
      <c r="T8" s="26">
        <v>7360.43</v>
      </c>
      <c r="U8" s="26">
        <v>7860.06</v>
      </c>
      <c r="V8" s="26">
        <v>7788.24</v>
      </c>
      <c r="W8" s="26">
        <v>8108.72</v>
      </c>
      <c r="X8" s="26">
        <v>8701.33</v>
      </c>
      <c r="Y8" s="26">
        <v>8613.6299999999992</v>
      </c>
      <c r="Z8" s="26">
        <v>10570.89</v>
      </c>
      <c r="AA8" s="26">
        <v>10967.53</v>
      </c>
      <c r="AB8" s="22">
        <f>SUM(D8:AA8)</f>
        <v>270155.87000000005</v>
      </c>
      <c r="AC8" s="22">
        <f>SUM(D8:AA8)</f>
        <v>270155.87000000005</v>
      </c>
      <c r="AD8" s="26">
        <v>12860.81</v>
      </c>
      <c r="AE8" s="26">
        <v>11720.06</v>
      </c>
      <c r="AF8" s="26">
        <v>13867.83</v>
      </c>
      <c r="AG8" s="26">
        <v>11579.31</v>
      </c>
      <c r="AH8" s="26">
        <v>13492.34</v>
      </c>
      <c r="AI8" s="26">
        <v>15140.49</v>
      </c>
      <c r="AJ8" s="26">
        <v>15306.97</v>
      </c>
      <c r="AK8" s="26">
        <v>14146.57</v>
      </c>
      <c r="AL8" s="26">
        <v>15332.35</v>
      </c>
      <c r="AM8" s="26">
        <v>18863.14</v>
      </c>
      <c r="AN8" s="26">
        <v>19739.2</v>
      </c>
      <c r="AO8" s="26">
        <v>19964.62</v>
      </c>
      <c r="AP8" s="26">
        <v>15946.51</v>
      </c>
      <c r="AQ8" s="26">
        <v>13593.64</v>
      </c>
      <c r="AR8" s="26">
        <v>14949.31</v>
      </c>
      <c r="AS8" s="26">
        <v>14358.34</v>
      </c>
      <c r="AT8" s="26">
        <v>15267.51</v>
      </c>
      <c r="AU8" s="26">
        <v>18654.12</v>
      </c>
      <c r="AV8" s="26">
        <v>17122.310000000001</v>
      </c>
      <c r="AW8" s="26">
        <v>21356.28</v>
      </c>
      <c r="AX8" s="26">
        <v>22161.54</v>
      </c>
      <c r="AY8" s="26">
        <v>19254.23</v>
      </c>
      <c r="AZ8" s="26">
        <v>21400.71</v>
      </c>
      <c r="BA8" s="26">
        <v>27173.360000000001</v>
      </c>
      <c r="BB8" s="23">
        <f t="shared" si="0"/>
        <v>182013.69</v>
      </c>
      <c r="BC8" s="23">
        <f t="shared" si="1"/>
        <v>221237.86</v>
      </c>
      <c r="BD8" s="26">
        <v>8368.69</v>
      </c>
      <c r="BE8" s="26">
        <v>7811.84</v>
      </c>
      <c r="BF8" s="26">
        <v>8118.24</v>
      </c>
      <c r="BG8" s="26">
        <v>8654</v>
      </c>
      <c r="BH8" s="26">
        <v>7916.6</v>
      </c>
      <c r="BI8" s="26">
        <v>9728.27</v>
      </c>
      <c r="BJ8" s="26">
        <v>10530.73</v>
      </c>
      <c r="BK8" s="26">
        <v>9124.4500000000007</v>
      </c>
      <c r="BL8" s="26">
        <v>9561.3799999999992</v>
      </c>
      <c r="BM8" s="26">
        <v>10736.34</v>
      </c>
      <c r="BN8" s="26">
        <v>13786.76</v>
      </c>
      <c r="BO8" s="26">
        <v>14310.84</v>
      </c>
      <c r="BP8" s="26">
        <v>11938.38</v>
      </c>
      <c r="BQ8" s="26">
        <v>9220.02</v>
      </c>
      <c r="BR8" s="26">
        <v>11455.6</v>
      </c>
      <c r="BS8" s="26">
        <v>12010.17</v>
      </c>
      <c r="BT8" s="26">
        <v>12450.43</v>
      </c>
      <c r="BU8" s="26">
        <v>10892.01</v>
      </c>
      <c r="BV8" s="26">
        <v>13470.95</v>
      </c>
      <c r="BW8" s="26">
        <v>13220.21</v>
      </c>
      <c r="BX8" s="26">
        <v>14985.37</v>
      </c>
      <c r="BY8" s="26">
        <v>15670.46</v>
      </c>
      <c r="BZ8" s="26">
        <v>16417.650000000001</v>
      </c>
      <c r="CA8" s="26">
        <v>17684.88</v>
      </c>
      <c r="CB8" s="24">
        <f t="shared" si="2"/>
        <v>118648.13999999998</v>
      </c>
      <c r="CC8" s="24">
        <f t="shared" si="3"/>
        <v>159416.12999999998</v>
      </c>
    </row>
    <row r="9" spans="1:81" x14ac:dyDescent="0.25">
      <c r="A9" s="27" t="s">
        <v>17</v>
      </c>
      <c r="B9" s="27"/>
      <c r="C9" s="27" t="s">
        <v>24</v>
      </c>
      <c r="D9" s="28">
        <f t="shared" ref="D9:AA9" si="4">SUM(D3:D8)</f>
        <v>830849.91</v>
      </c>
      <c r="E9" s="28">
        <f t="shared" si="4"/>
        <v>764279.35000000009</v>
      </c>
      <c r="F9" s="28">
        <f t="shared" si="4"/>
        <v>791188.61</v>
      </c>
      <c r="G9" s="28">
        <f t="shared" si="4"/>
        <v>731673.7699999999</v>
      </c>
      <c r="H9" s="28">
        <f t="shared" si="4"/>
        <v>850280.15</v>
      </c>
      <c r="I9" s="28">
        <f t="shared" si="4"/>
        <v>907997.03</v>
      </c>
      <c r="J9" s="28">
        <f t="shared" si="4"/>
        <v>899700.57000000007</v>
      </c>
      <c r="K9" s="28">
        <f t="shared" si="4"/>
        <v>936722.28</v>
      </c>
      <c r="L9" s="28">
        <f t="shared" si="4"/>
        <v>1005181.3</v>
      </c>
      <c r="M9" s="28">
        <f t="shared" si="4"/>
        <v>995050.52999999991</v>
      </c>
      <c r="N9" s="28">
        <f t="shared" si="4"/>
        <v>1221153.4400000002</v>
      </c>
      <c r="O9" s="28">
        <f t="shared" si="4"/>
        <v>1266975.7000000002</v>
      </c>
      <c r="P9" s="28">
        <f t="shared" si="4"/>
        <v>393113.01</v>
      </c>
      <c r="Q9" s="28">
        <f t="shared" si="4"/>
        <v>361615.44999999995</v>
      </c>
      <c r="R9" s="28">
        <f t="shared" si="4"/>
        <v>374347.45</v>
      </c>
      <c r="S9" s="28">
        <f t="shared" si="4"/>
        <v>346188.25999999995</v>
      </c>
      <c r="T9" s="28">
        <f t="shared" si="4"/>
        <v>402306.35000000003</v>
      </c>
      <c r="U9" s="28">
        <f t="shared" si="4"/>
        <v>429614.83</v>
      </c>
      <c r="V9" s="28">
        <f t="shared" si="4"/>
        <v>425689.41999999993</v>
      </c>
      <c r="W9" s="28">
        <f t="shared" si="4"/>
        <v>443206.07</v>
      </c>
      <c r="X9" s="28">
        <f t="shared" si="4"/>
        <v>475597.15</v>
      </c>
      <c r="Y9" s="28">
        <f t="shared" si="4"/>
        <v>470803.82</v>
      </c>
      <c r="Z9" s="28">
        <f t="shared" si="4"/>
        <v>577783.45000000007</v>
      </c>
      <c r="AA9" s="28">
        <f t="shared" si="4"/>
        <v>599464.01000000013</v>
      </c>
      <c r="AB9" s="28">
        <f>SUM(D9:O9)</f>
        <v>11201052.640000001</v>
      </c>
      <c r="AC9" s="28">
        <f t="shared" ref="AC9" si="5">SUM(P9:AA9)</f>
        <v>5299729.2699999996</v>
      </c>
      <c r="AD9" s="28">
        <f t="shared" ref="AD9:BA9" si="6">SUM(AD3:AD8)</f>
        <v>671006.57000000007</v>
      </c>
      <c r="AE9" s="28">
        <f t="shared" si="6"/>
        <v>611488.38</v>
      </c>
      <c r="AF9" s="28">
        <f t="shared" si="6"/>
        <v>723547.2699999999</v>
      </c>
      <c r="AG9" s="28">
        <f t="shared" si="6"/>
        <v>604144.88000000012</v>
      </c>
      <c r="AH9" s="28">
        <f t="shared" si="6"/>
        <v>703955.95</v>
      </c>
      <c r="AI9" s="28">
        <f t="shared" si="6"/>
        <v>789947.57000000007</v>
      </c>
      <c r="AJ9" s="28">
        <f t="shared" si="6"/>
        <v>798633.5199999999</v>
      </c>
      <c r="AK9" s="28">
        <f t="shared" si="6"/>
        <v>738090.04999999993</v>
      </c>
      <c r="AL9" s="28">
        <f t="shared" si="6"/>
        <v>799957.58000000007</v>
      </c>
      <c r="AM9" s="28">
        <f t="shared" si="6"/>
        <v>984175.14</v>
      </c>
      <c r="AN9" s="28">
        <f t="shared" si="6"/>
        <v>1029882.7699999999</v>
      </c>
      <c r="AO9" s="28">
        <f t="shared" si="6"/>
        <v>1041643.6699999999</v>
      </c>
      <c r="AP9" s="28">
        <f t="shared" si="6"/>
        <v>659051.23</v>
      </c>
      <c r="AQ9" s="28">
        <f t="shared" si="6"/>
        <v>561809.86</v>
      </c>
      <c r="AR9" s="28">
        <f t="shared" si="6"/>
        <v>617837.89</v>
      </c>
      <c r="AS9" s="28">
        <f t="shared" si="6"/>
        <v>593413.88</v>
      </c>
      <c r="AT9" s="28">
        <f t="shared" si="6"/>
        <v>630988.78</v>
      </c>
      <c r="AU9" s="28">
        <f t="shared" si="6"/>
        <v>770953.53</v>
      </c>
      <c r="AV9" s="28">
        <f t="shared" si="6"/>
        <v>707645.66</v>
      </c>
      <c r="AW9" s="28">
        <f t="shared" si="6"/>
        <v>882630.92999999993</v>
      </c>
      <c r="AX9" s="28">
        <f t="shared" si="6"/>
        <v>915911.35000000009</v>
      </c>
      <c r="AY9" s="28">
        <f t="shared" si="6"/>
        <v>795755.62</v>
      </c>
      <c r="AZ9" s="28">
        <f t="shared" si="6"/>
        <v>884466.9</v>
      </c>
      <c r="BA9" s="28">
        <f t="shared" si="6"/>
        <v>1123044.07</v>
      </c>
      <c r="BB9" s="28">
        <f t="shared" si="0"/>
        <v>9496473.3499999996</v>
      </c>
      <c r="BC9" s="28">
        <f t="shared" si="1"/>
        <v>9143509.6999999993</v>
      </c>
      <c r="BD9" s="28">
        <f t="shared" ref="BD9:CA9" si="7">SUM(BD3:BD8)</f>
        <v>570465.1</v>
      </c>
      <c r="BE9" s="28">
        <f t="shared" si="7"/>
        <v>532506.47</v>
      </c>
      <c r="BF9" s="28">
        <f t="shared" si="7"/>
        <v>553392.51</v>
      </c>
      <c r="BG9" s="28">
        <f t="shared" si="7"/>
        <v>589913.75</v>
      </c>
      <c r="BH9" s="28">
        <f t="shared" si="7"/>
        <v>539647.43999999994</v>
      </c>
      <c r="BI9" s="28">
        <f t="shared" si="7"/>
        <v>663142.69000000006</v>
      </c>
      <c r="BJ9" s="28">
        <f t="shared" si="7"/>
        <v>717843.66</v>
      </c>
      <c r="BK9" s="28">
        <f t="shared" si="7"/>
        <v>621982.42999999993</v>
      </c>
      <c r="BL9" s="28">
        <f t="shared" si="7"/>
        <v>651766.31000000006</v>
      </c>
      <c r="BM9" s="28">
        <f t="shared" si="7"/>
        <v>731859.73</v>
      </c>
      <c r="BN9" s="28">
        <f t="shared" si="7"/>
        <v>939796.31</v>
      </c>
      <c r="BO9" s="28">
        <f t="shared" si="7"/>
        <v>975521.05</v>
      </c>
      <c r="BP9" s="28">
        <f t="shared" si="7"/>
        <v>936167.30999999994</v>
      </c>
      <c r="BQ9" s="28">
        <f t="shared" si="7"/>
        <v>723002.42</v>
      </c>
      <c r="BR9" s="28">
        <f t="shared" si="7"/>
        <v>898309.41999999993</v>
      </c>
      <c r="BS9" s="28">
        <f t="shared" si="7"/>
        <v>941796.81</v>
      </c>
      <c r="BT9" s="28">
        <f t="shared" si="7"/>
        <v>976320.72000000009</v>
      </c>
      <c r="BU9" s="28">
        <f t="shared" si="7"/>
        <v>854114.51</v>
      </c>
      <c r="BV9" s="28">
        <f t="shared" si="7"/>
        <v>1056345.8600000001</v>
      </c>
      <c r="BW9" s="28">
        <f t="shared" si="7"/>
        <v>1036683.84</v>
      </c>
      <c r="BX9" s="28">
        <f t="shared" si="7"/>
        <v>1175101.8500000001</v>
      </c>
      <c r="BY9" s="28">
        <f t="shared" si="7"/>
        <v>1228824.48</v>
      </c>
      <c r="BZ9" s="28">
        <f t="shared" si="7"/>
        <v>1287416.1499999999</v>
      </c>
      <c r="CA9" s="28">
        <f t="shared" si="7"/>
        <v>1386787.41</v>
      </c>
      <c r="CB9" s="28">
        <f t="shared" si="2"/>
        <v>8087837.4500000002</v>
      </c>
      <c r="CC9" s="28">
        <f t="shared" si="3"/>
        <v>12500870.780000001</v>
      </c>
    </row>
    <row r="11" spans="1:81" x14ac:dyDescent="0.25">
      <c r="A11" s="20" t="s">
        <v>25</v>
      </c>
      <c r="B11" s="20"/>
      <c r="C11" s="20" t="s">
        <v>26</v>
      </c>
      <c r="D11" s="21">
        <v>27.36</v>
      </c>
      <c r="E11" s="21">
        <v>26.17</v>
      </c>
      <c r="F11" s="21">
        <v>24.21</v>
      </c>
      <c r="G11" s="21">
        <v>24.44</v>
      </c>
      <c r="H11" s="21">
        <v>23.74</v>
      </c>
      <c r="I11" s="21">
        <v>30.29</v>
      </c>
      <c r="J11" s="21">
        <v>32.01</v>
      </c>
      <c r="K11" s="21">
        <v>35.229999999999997</v>
      </c>
      <c r="L11" s="21">
        <v>31.67</v>
      </c>
      <c r="M11" s="21">
        <v>35.96</v>
      </c>
      <c r="N11" s="21">
        <v>34.5</v>
      </c>
      <c r="O11" s="21">
        <v>42.14</v>
      </c>
      <c r="P11" s="21">
        <v>15.48</v>
      </c>
      <c r="Q11" s="21">
        <v>14.28</v>
      </c>
      <c r="R11" s="21">
        <v>15.45</v>
      </c>
      <c r="S11" s="21">
        <v>14.73</v>
      </c>
      <c r="T11" s="21">
        <v>14.26</v>
      </c>
      <c r="U11" s="21">
        <v>16.010000000000002</v>
      </c>
      <c r="V11" s="21">
        <v>17.57</v>
      </c>
      <c r="W11" s="21">
        <v>15.29</v>
      </c>
      <c r="X11" s="21">
        <v>17.93</v>
      </c>
      <c r="Y11" s="21">
        <v>19.13</v>
      </c>
      <c r="Z11" s="21">
        <v>20.21</v>
      </c>
      <c r="AA11" s="21">
        <v>25.53</v>
      </c>
      <c r="AB11" s="22">
        <f>SUM(D11:AA11)</f>
        <v>573.59</v>
      </c>
      <c r="AC11" s="22">
        <f>SUM(D11:AA11)</f>
        <v>573.59</v>
      </c>
      <c r="AD11" s="21">
        <v>1957.95</v>
      </c>
      <c r="AE11" s="21">
        <v>2126.0700000000002</v>
      </c>
      <c r="AF11" s="21">
        <v>2000.5</v>
      </c>
      <c r="AG11" s="21">
        <v>1846.65</v>
      </c>
      <c r="AH11" s="21">
        <v>2260.02</v>
      </c>
      <c r="AI11" s="21">
        <v>2276.12</v>
      </c>
      <c r="AJ11" s="21">
        <v>2512.1</v>
      </c>
      <c r="AK11" s="21">
        <v>2257.63</v>
      </c>
      <c r="AL11" s="21">
        <v>2609.79</v>
      </c>
      <c r="AM11" s="21">
        <v>2763.64</v>
      </c>
      <c r="AN11" s="21">
        <v>2949.26</v>
      </c>
      <c r="AO11" s="21">
        <v>3730.96</v>
      </c>
      <c r="AP11" s="21">
        <v>3026.26</v>
      </c>
      <c r="AQ11" s="21">
        <v>2767.1</v>
      </c>
      <c r="AR11" s="21">
        <v>3363.09</v>
      </c>
      <c r="AS11" s="21">
        <v>2722.81</v>
      </c>
      <c r="AT11" s="21">
        <v>2799.91</v>
      </c>
      <c r="AU11" s="21">
        <v>3090.84</v>
      </c>
      <c r="AV11" s="21">
        <v>3732.82</v>
      </c>
      <c r="AW11" s="21">
        <v>3293.19</v>
      </c>
      <c r="AX11" s="21">
        <v>3608.05</v>
      </c>
      <c r="AY11" s="21">
        <v>3897.22</v>
      </c>
      <c r="AZ11" s="21">
        <v>3786.57</v>
      </c>
      <c r="BA11" s="21">
        <v>4601.13</v>
      </c>
      <c r="BB11" s="23">
        <f t="shared" ref="BB11:BB19" si="8">SUM(AD11:AO11)</f>
        <v>29290.690000000002</v>
      </c>
      <c r="BC11" s="23">
        <f t="shared" ref="BC11:BC19" si="9">SUM(AP11:BA11)</f>
        <v>40688.99</v>
      </c>
      <c r="BD11" s="21">
        <v>2903.66</v>
      </c>
      <c r="BE11" s="21">
        <v>2619.29</v>
      </c>
      <c r="BF11" s="21">
        <v>3365.81</v>
      </c>
      <c r="BG11" s="21">
        <v>2894.99</v>
      </c>
      <c r="BH11" s="21">
        <v>3271.84</v>
      </c>
      <c r="BI11" s="21">
        <v>3502.12</v>
      </c>
      <c r="BJ11" s="21">
        <v>3336.41</v>
      </c>
      <c r="BK11" s="21">
        <v>3588.61</v>
      </c>
      <c r="BL11" s="21">
        <v>3756.91</v>
      </c>
      <c r="BM11" s="21">
        <v>3682.37</v>
      </c>
      <c r="BN11" s="21">
        <v>4891.55</v>
      </c>
      <c r="BO11" s="21">
        <v>4854.34</v>
      </c>
      <c r="BP11" s="21">
        <v>6089.07</v>
      </c>
      <c r="BQ11" s="21">
        <v>4748.8599999999997</v>
      </c>
      <c r="BR11" s="21">
        <v>6565.69</v>
      </c>
      <c r="BS11" s="21">
        <v>5508.58</v>
      </c>
      <c r="BT11" s="21">
        <v>5251.67</v>
      </c>
      <c r="BU11" s="21">
        <v>6726.78</v>
      </c>
      <c r="BV11" s="21">
        <v>7289.39</v>
      </c>
      <c r="BW11" s="21">
        <v>7050.59</v>
      </c>
      <c r="BX11" s="21">
        <v>7564.13</v>
      </c>
      <c r="BY11" s="21">
        <v>7567.95</v>
      </c>
      <c r="BZ11" s="21">
        <v>9316.27</v>
      </c>
      <c r="CA11" s="21">
        <v>10403.209999999999</v>
      </c>
      <c r="CB11" s="24">
        <f t="shared" ref="CB11:CB19" si="10">SUM(BD11:BO11)</f>
        <v>42667.900000000009</v>
      </c>
      <c r="CC11" s="24">
        <f t="shared" ref="CC11:CC19" si="11">SUM(BP11:CA11)</f>
        <v>84082.189999999973</v>
      </c>
    </row>
    <row r="12" spans="1:81" x14ac:dyDescent="0.25">
      <c r="A12" s="25" t="s">
        <v>25</v>
      </c>
      <c r="B12" s="25"/>
      <c r="C12" s="25" t="s">
        <v>27</v>
      </c>
      <c r="D12" s="26">
        <v>28938.74</v>
      </c>
      <c r="E12" s="26">
        <v>27680.11</v>
      </c>
      <c r="F12" s="26">
        <v>25609.14</v>
      </c>
      <c r="G12" s="26">
        <v>25854.97</v>
      </c>
      <c r="H12" s="26">
        <v>25108.48</v>
      </c>
      <c r="I12" s="26">
        <v>32042.04</v>
      </c>
      <c r="J12" s="26">
        <v>33863.620000000003</v>
      </c>
      <c r="K12" s="26">
        <v>37265.730000000003</v>
      </c>
      <c r="L12" s="26">
        <v>33504.04</v>
      </c>
      <c r="M12" s="26">
        <v>38035.25</v>
      </c>
      <c r="N12" s="26">
        <v>36496.93</v>
      </c>
      <c r="O12" s="26">
        <v>44572.56</v>
      </c>
      <c r="P12" s="26">
        <v>25473.97</v>
      </c>
      <c r="Q12" s="26">
        <v>23497.87</v>
      </c>
      <c r="R12" s="26">
        <v>25414.28</v>
      </c>
      <c r="S12" s="26">
        <v>24242.74</v>
      </c>
      <c r="T12" s="26">
        <v>23458.01</v>
      </c>
      <c r="U12" s="26">
        <v>26346.48</v>
      </c>
      <c r="V12" s="26">
        <v>28903.360000000001</v>
      </c>
      <c r="W12" s="26">
        <v>25165.42</v>
      </c>
      <c r="X12" s="26">
        <v>29509.35</v>
      </c>
      <c r="Y12" s="26">
        <v>31480.34</v>
      </c>
      <c r="Z12" s="26">
        <v>33251.82</v>
      </c>
      <c r="AA12" s="26">
        <v>41999.19</v>
      </c>
      <c r="AB12" s="22">
        <f>SUM(D12:AA12)</f>
        <v>727714.44</v>
      </c>
      <c r="AC12" s="22">
        <f>SUM(D12:AA12)</f>
        <v>727714.44</v>
      </c>
      <c r="AD12" s="26">
        <v>6024.79</v>
      </c>
      <c r="AE12" s="26">
        <v>6542.11</v>
      </c>
      <c r="AF12" s="26">
        <v>6155.7</v>
      </c>
      <c r="AG12" s="26">
        <v>5682.29</v>
      </c>
      <c r="AH12" s="26">
        <v>6954.27</v>
      </c>
      <c r="AI12" s="26">
        <v>7003.82</v>
      </c>
      <c r="AJ12" s="26">
        <v>7729.95</v>
      </c>
      <c r="AK12" s="26">
        <v>6946.93</v>
      </c>
      <c r="AL12" s="26">
        <v>8030.57</v>
      </c>
      <c r="AM12" s="26">
        <v>8503.9599999999991</v>
      </c>
      <c r="AN12" s="26">
        <v>9075.15</v>
      </c>
      <c r="AO12" s="26">
        <v>11480.51</v>
      </c>
      <c r="AP12" s="26">
        <v>8536.07</v>
      </c>
      <c r="AQ12" s="26">
        <v>7805.06</v>
      </c>
      <c r="AR12" s="26">
        <v>9486.15</v>
      </c>
      <c r="AS12" s="26">
        <v>7680.14</v>
      </c>
      <c r="AT12" s="26">
        <v>7897.62</v>
      </c>
      <c r="AU12" s="26">
        <v>8718.23</v>
      </c>
      <c r="AV12" s="26">
        <v>10529.03</v>
      </c>
      <c r="AW12" s="26">
        <v>9289</v>
      </c>
      <c r="AX12" s="26">
        <v>10177.1</v>
      </c>
      <c r="AY12" s="26">
        <v>10992.77</v>
      </c>
      <c r="AZ12" s="26">
        <v>10680.64</v>
      </c>
      <c r="BA12" s="26">
        <v>12978.19</v>
      </c>
      <c r="BB12" s="23">
        <f t="shared" si="8"/>
        <v>90130.049999999974</v>
      </c>
      <c r="BC12" s="23">
        <f t="shared" si="9"/>
        <v>114770.00000000001</v>
      </c>
      <c r="BD12" s="26">
        <v>21226.03</v>
      </c>
      <c r="BE12" s="26">
        <v>19147.259999999998</v>
      </c>
      <c r="BF12" s="26">
        <v>24604.34</v>
      </c>
      <c r="BG12" s="26">
        <v>21162.63</v>
      </c>
      <c r="BH12" s="26">
        <v>23917.439999999999</v>
      </c>
      <c r="BI12" s="26">
        <v>25600.83</v>
      </c>
      <c r="BJ12" s="26">
        <v>24389.47</v>
      </c>
      <c r="BK12" s="26">
        <v>26233.06</v>
      </c>
      <c r="BL12" s="26">
        <v>27463.35</v>
      </c>
      <c r="BM12" s="26">
        <v>26918.44</v>
      </c>
      <c r="BN12" s="26">
        <v>35757.68</v>
      </c>
      <c r="BO12" s="26">
        <v>35485.660000000003</v>
      </c>
      <c r="BP12" s="26">
        <v>30348.86</v>
      </c>
      <c r="BQ12" s="26">
        <v>23669.06</v>
      </c>
      <c r="BR12" s="26">
        <v>32724.39</v>
      </c>
      <c r="BS12" s="26">
        <v>27455.61</v>
      </c>
      <c r="BT12" s="26">
        <v>26175.119999999999</v>
      </c>
      <c r="BU12" s="26">
        <v>33527.279999999999</v>
      </c>
      <c r="BV12" s="26">
        <v>36331.43</v>
      </c>
      <c r="BW12" s="26">
        <v>35141.199999999997</v>
      </c>
      <c r="BX12" s="26">
        <v>37700.78</v>
      </c>
      <c r="BY12" s="26">
        <v>37719.83</v>
      </c>
      <c r="BZ12" s="26">
        <v>46433.69</v>
      </c>
      <c r="CA12" s="26">
        <v>51851.21</v>
      </c>
      <c r="CB12" s="24">
        <f t="shared" si="10"/>
        <v>311906.19000000006</v>
      </c>
      <c r="CC12" s="24">
        <f t="shared" si="11"/>
        <v>419078.46</v>
      </c>
    </row>
    <row r="13" spans="1:81" x14ac:dyDescent="0.25">
      <c r="A13" s="20" t="s">
        <v>25</v>
      </c>
      <c r="B13" s="20"/>
      <c r="C13" s="20" t="s">
        <v>28</v>
      </c>
      <c r="D13" s="21">
        <v>10588.36</v>
      </c>
      <c r="E13" s="21">
        <v>10127.85</v>
      </c>
      <c r="F13" s="21">
        <v>9370.1</v>
      </c>
      <c r="G13" s="21">
        <v>9460.0499999999993</v>
      </c>
      <c r="H13" s="21">
        <v>9186.91</v>
      </c>
      <c r="I13" s="21">
        <v>11723.82</v>
      </c>
      <c r="J13" s="21">
        <v>12390.32</v>
      </c>
      <c r="K13" s="21">
        <v>13635.12</v>
      </c>
      <c r="L13" s="21">
        <v>12258.75</v>
      </c>
      <c r="M13" s="21">
        <v>13916.67</v>
      </c>
      <c r="N13" s="21">
        <v>13353.82</v>
      </c>
      <c r="O13" s="21">
        <v>16308.61</v>
      </c>
      <c r="P13" s="21">
        <v>5326.08</v>
      </c>
      <c r="Q13" s="21">
        <v>4912.92</v>
      </c>
      <c r="R13" s="21">
        <v>5313.6</v>
      </c>
      <c r="S13" s="21">
        <v>5068.66</v>
      </c>
      <c r="T13" s="21">
        <v>4904.58</v>
      </c>
      <c r="U13" s="21">
        <v>5508.51</v>
      </c>
      <c r="V13" s="21">
        <v>6043.1</v>
      </c>
      <c r="W13" s="21">
        <v>5261.57</v>
      </c>
      <c r="X13" s="21">
        <v>6169.8</v>
      </c>
      <c r="Y13" s="21">
        <v>6581.89</v>
      </c>
      <c r="Z13" s="21">
        <v>6952.27</v>
      </c>
      <c r="AA13" s="21">
        <v>8781.15</v>
      </c>
      <c r="AB13" s="22">
        <f>SUM(D13:AA13)</f>
        <v>213144.51</v>
      </c>
      <c r="AC13" s="22">
        <f>SUM(D13:AA13)</f>
        <v>213144.51</v>
      </c>
      <c r="AD13" s="21">
        <v>12583.68</v>
      </c>
      <c r="AE13" s="21">
        <v>13664.18</v>
      </c>
      <c r="AF13" s="21">
        <v>12857.11</v>
      </c>
      <c r="AG13" s="21">
        <v>11868.32</v>
      </c>
      <c r="AH13" s="21">
        <v>14525.04</v>
      </c>
      <c r="AI13" s="21">
        <v>14628.52</v>
      </c>
      <c r="AJ13" s="21">
        <v>16145.17</v>
      </c>
      <c r="AK13" s="21">
        <v>14509.7</v>
      </c>
      <c r="AL13" s="21">
        <v>16773.05</v>
      </c>
      <c r="AM13" s="21">
        <v>17761.79</v>
      </c>
      <c r="AN13" s="21">
        <v>18954.8</v>
      </c>
      <c r="AO13" s="21">
        <v>23978.71</v>
      </c>
      <c r="AP13" s="21">
        <v>19449.669999999998</v>
      </c>
      <c r="AQ13" s="21">
        <v>17784.05</v>
      </c>
      <c r="AR13" s="21">
        <v>21614.44</v>
      </c>
      <c r="AS13" s="21">
        <v>17499.400000000001</v>
      </c>
      <c r="AT13" s="21">
        <v>17994.93</v>
      </c>
      <c r="AU13" s="21">
        <v>19864.71</v>
      </c>
      <c r="AV13" s="21">
        <v>23990.67</v>
      </c>
      <c r="AW13" s="21">
        <v>21165.23</v>
      </c>
      <c r="AX13" s="21">
        <v>23188.799999999999</v>
      </c>
      <c r="AY13" s="21">
        <v>25047.31</v>
      </c>
      <c r="AZ13" s="21">
        <v>24336.12</v>
      </c>
      <c r="BA13" s="21">
        <v>29571.18</v>
      </c>
      <c r="BB13" s="23">
        <f t="shared" si="8"/>
        <v>188250.06999999998</v>
      </c>
      <c r="BC13" s="23">
        <f t="shared" si="9"/>
        <v>261506.50999999998</v>
      </c>
      <c r="BD13" s="21">
        <v>4376.25</v>
      </c>
      <c r="BE13" s="21">
        <v>3947.66</v>
      </c>
      <c r="BF13" s="21">
        <v>5072.7700000000004</v>
      </c>
      <c r="BG13" s="21">
        <v>4363.18</v>
      </c>
      <c r="BH13" s="21">
        <v>4931.1499999999996</v>
      </c>
      <c r="BI13" s="21">
        <v>5278.22</v>
      </c>
      <c r="BJ13" s="21">
        <v>5028.47</v>
      </c>
      <c r="BK13" s="21">
        <v>5408.57</v>
      </c>
      <c r="BL13" s="21">
        <v>5662.22</v>
      </c>
      <c r="BM13" s="21">
        <v>5549.88</v>
      </c>
      <c r="BN13" s="21">
        <v>7372.29</v>
      </c>
      <c r="BO13" s="21">
        <v>7316.2</v>
      </c>
      <c r="BP13" s="21">
        <v>10011.42</v>
      </c>
      <c r="BQ13" s="21">
        <v>7807.9</v>
      </c>
      <c r="BR13" s="21">
        <v>10795.05</v>
      </c>
      <c r="BS13" s="21">
        <v>9057</v>
      </c>
      <c r="BT13" s="21">
        <v>8634.6</v>
      </c>
      <c r="BU13" s="21">
        <v>11059.91</v>
      </c>
      <c r="BV13" s="21">
        <v>11984.94</v>
      </c>
      <c r="BW13" s="21">
        <v>11592.31</v>
      </c>
      <c r="BX13" s="21">
        <v>12436.66</v>
      </c>
      <c r="BY13" s="21">
        <v>12442.94</v>
      </c>
      <c r="BZ13" s="21">
        <v>15317.45</v>
      </c>
      <c r="CA13" s="21">
        <v>17104.57</v>
      </c>
      <c r="CB13" s="24">
        <f t="shared" si="10"/>
        <v>64306.86</v>
      </c>
      <c r="CC13" s="24">
        <f t="shared" si="11"/>
        <v>138244.75</v>
      </c>
    </row>
    <row r="14" spans="1:81" x14ac:dyDescent="0.25">
      <c r="A14" s="25" t="s">
        <v>25</v>
      </c>
      <c r="B14" s="25"/>
      <c r="C14" s="25" t="s">
        <v>29</v>
      </c>
      <c r="D14" s="26">
        <v>1260196.3400000001</v>
      </c>
      <c r="E14" s="26">
        <v>1205387.1200000001</v>
      </c>
      <c r="F14" s="26">
        <v>1115202.24</v>
      </c>
      <c r="G14" s="26">
        <v>1125907.53</v>
      </c>
      <c r="H14" s="26">
        <v>1093400.08</v>
      </c>
      <c r="I14" s="26">
        <v>1395335.97</v>
      </c>
      <c r="J14" s="26">
        <v>1474660.46</v>
      </c>
      <c r="K14" s="26">
        <v>1622812.51</v>
      </c>
      <c r="L14" s="26">
        <v>1459001.79</v>
      </c>
      <c r="M14" s="26">
        <v>1656322.61</v>
      </c>
      <c r="N14" s="26">
        <v>1589333.14</v>
      </c>
      <c r="O14" s="26">
        <v>1941003.02</v>
      </c>
      <c r="P14" s="26">
        <v>871605.43</v>
      </c>
      <c r="Q14" s="26">
        <v>803992.2</v>
      </c>
      <c r="R14" s="26">
        <v>869563.05</v>
      </c>
      <c r="S14" s="26">
        <v>829478.42</v>
      </c>
      <c r="T14" s="26">
        <v>802628.18</v>
      </c>
      <c r="U14" s="26">
        <v>901459.01</v>
      </c>
      <c r="V14" s="26">
        <v>988943.88</v>
      </c>
      <c r="W14" s="26">
        <v>861048.31</v>
      </c>
      <c r="X14" s="26">
        <v>1009678.13</v>
      </c>
      <c r="Y14" s="26">
        <v>1077116.71</v>
      </c>
      <c r="Z14" s="26">
        <v>1137728.77</v>
      </c>
      <c r="AA14" s="26">
        <v>1437024.54</v>
      </c>
      <c r="AB14" s="22">
        <f>SUM(D14:AA14)</f>
        <v>28528829.439999998</v>
      </c>
      <c r="AC14" s="22">
        <f>SUM(D14:AA14)</f>
        <v>28528829.439999998</v>
      </c>
      <c r="AD14" s="26">
        <v>385548.39</v>
      </c>
      <c r="AE14" s="26">
        <v>418653.57</v>
      </c>
      <c r="AF14" s="26">
        <v>393925.89</v>
      </c>
      <c r="AG14" s="26">
        <v>363630.63</v>
      </c>
      <c r="AH14" s="26">
        <v>445029.28</v>
      </c>
      <c r="AI14" s="26">
        <v>448199.7</v>
      </c>
      <c r="AJ14" s="26">
        <v>494667.87</v>
      </c>
      <c r="AK14" s="26">
        <v>444559.2</v>
      </c>
      <c r="AL14" s="26">
        <v>513905.35</v>
      </c>
      <c r="AM14" s="26">
        <v>544199.24</v>
      </c>
      <c r="AN14" s="26">
        <v>580751.53</v>
      </c>
      <c r="AO14" s="26">
        <v>734678.45</v>
      </c>
      <c r="AP14" s="26">
        <v>446935.32</v>
      </c>
      <c r="AQ14" s="26">
        <v>408660.9</v>
      </c>
      <c r="AR14" s="26">
        <v>496679.85</v>
      </c>
      <c r="AS14" s="26">
        <v>402119.94</v>
      </c>
      <c r="AT14" s="26">
        <v>413506.81</v>
      </c>
      <c r="AU14" s="26">
        <v>456472.59</v>
      </c>
      <c r="AV14" s="26">
        <v>551283.36</v>
      </c>
      <c r="AW14" s="26">
        <v>486357.23</v>
      </c>
      <c r="AX14" s="26">
        <v>532857.11</v>
      </c>
      <c r="AY14" s="26">
        <v>575563.92000000004</v>
      </c>
      <c r="AZ14" s="26">
        <v>559221.44999999995</v>
      </c>
      <c r="BA14" s="26">
        <v>679518.17</v>
      </c>
      <c r="BB14" s="23">
        <f t="shared" si="8"/>
        <v>5767749.1000000006</v>
      </c>
      <c r="BC14" s="23">
        <f t="shared" si="9"/>
        <v>6009176.6499999994</v>
      </c>
      <c r="BD14" s="26">
        <v>194706.31</v>
      </c>
      <c r="BE14" s="26">
        <v>175637.7</v>
      </c>
      <c r="BF14" s="26">
        <v>225695.52</v>
      </c>
      <c r="BG14" s="26">
        <v>194124.68</v>
      </c>
      <c r="BH14" s="26">
        <v>219394.57</v>
      </c>
      <c r="BI14" s="26">
        <v>234836.31</v>
      </c>
      <c r="BJ14" s="26">
        <v>223724.48</v>
      </c>
      <c r="BK14" s="26">
        <v>240635.72</v>
      </c>
      <c r="BL14" s="26">
        <v>251921.22</v>
      </c>
      <c r="BM14" s="26">
        <v>246922.75</v>
      </c>
      <c r="BN14" s="26">
        <v>328005.02</v>
      </c>
      <c r="BO14" s="26">
        <v>325510.01</v>
      </c>
      <c r="BP14" s="26">
        <v>408305.32</v>
      </c>
      <c r="BQ14" s="26">
        <v>318437.03999999998</v>
      </c>
      <c r="BR14" s="26">
        <v>440265</v>
      </c>
      <c r="BS14" s="26">
        <v>369380.28</v>
      </c>
      <c r="BT14" s="26">
        <v>352152.91</v>
      </c>
      <c r="BU14" s="26">
        <v>451066.84</v>
      </c>
      <c r="BV14" s="26">
        <v>488793.12</v>
      </c>
      <c r="BW14" s="26">
        <v>472780.1</v>
      </c>
      <c r="BX14" s="26">
        <v>507216</v>
      </c>
      <c r="BY14" s="26">
        <v>507472.31</v>
      </c>
      <c r="BZ14" s="26">
        <v>624706.19999999995</v>
      </c>
      <c r="CA14" s="26">
        <v>697592.27</v>
      </c>
      <c r="CB14" s="24">
        <f t="shared" si="10"/>
        <v>2861114.29</v>
      </c>
      <c r="CC14" s="24">
        <f t="shared" si="11"/>
        <v>5638167.3900000006</v>
      </c>
    </row>
    <row r="15" spans="1:81" x14ac:dyDescent="0.25">
      <c r="A15" s="20" t="s">
        <v>25</v>
      </c>
      <c r="B15" s="20"/>
      <c r="C15" s="20" t="s">
        <v>30</v>
      </c>
      <c r="D15" s="21">
        <v>79601.320000000007</v>
      </c>
      <c r="E15" s="21">
        <v>76139.25</v>
      </c>
      <c r="F15" s="21">
        <v>70442.649999999994</v>
      </c>
      <c r="G15" s="21">
        <v>71118.86</v>
      </c>
      <c r="H15" s="21">
        <v>69065.5</v>
      </c>
      <c r="I15" s="21">
        <v>88137.52</v>
      </c>
      <c r="J15" s="21">
        <v>93148.12</v>
      </c>
      <c r="K15" s="21">
        <v>102506.26</v>
      </c>
      <c r="L15" s="21">
        <v>92159.03</v>
      </c>
      <c r="M15" s="21">
        <v>104622.95</v>
      </c>
      <c r="N15" s="21">
        <v>100391.51</v>
      </c>
      <c r="O15" s="21">
        <v>122605.02</v>
      </c>
      <c r="P15" s="21">
        <v>60060.72</v>
      </c>
      <c r="Q15" s="21">
        <v>55401.62</v>
      </c>
      <c r="R15" s="21">
        <v>59919.98</v>
      </c>
      <c r="S15" s="21">
        <v>57157.83</v>
      </c>
      <c r="T15" s="21">
        <v>55307.63</v>
      </c>
      <c r="U15" s="21">
        <v>62117.88</v>
      </c>
      <c r="V15" s="21">
        <v>68146.3</v>
      </c>
      <c r="W15" s="21">
        <v>59333.25</v>
      </c>
      <c r="X15" s="21">
        <v>69575.06</v>
      </c>
      <c r="Y15" s="21">
        <v>74222.12</v>
      </c>
      <c r="Z15" s="21">
        <v>78398.789999999994</v>
      </c>
      <c r="AA15" s="21">
        <v>99022.69</v>
      </c>
      <c r="AB15" s="22">
        <f>SUM(D15:AA15)</f>
        <v>1868601.8599999999</v>
      </c>
      <c r="AC15" s="22">
        <f>SUM(D15:AA15)</f>
        <v>1868601.8599999999</v>
      </c>
      <c r="AD15" s="21">
        <v>56032.3</v>
      </c>
      <c r="AE15" s="21">
        <v>60843.519999999997</v>
      </c>
      <c r="AF15" s="21">
        <v>57249.81</v>
      </c>
      <c r="AG15" s="21">
        <v>52846.96</v>
      </c>
      <c r="AH15" s="21">
        <v>64676.74</v>
      </c>
      <c r="AI15" s="21">
        <v>65137.5</v>
      </c>
      <c r="AJ15" s="21">
        <v>71890.789999999994</v>
      </c>
      <c r="AK15" s="21">
        <v>64608.42</v>
      </c>
      <c r="AL15" s="21">
        <v>74686.600000000006</v>
      </c>
      <c r="AM15" s="21">
        <v>79089.25</v>
      </c>
      <c r="AN15" s="21">
        <v>84401.45</v>
      </c>
      <c r="AO15" s="21">
        <v>106771.85</v>
      </c>
      <c r="AP15" s="21">
        <v>61345.2</v>
      </c>
      <c r="AQ15" s="21">
        <v>56091.76</v>
      </c>
      <c r="AR15" s="21">
        <v>68173.009999999995</v>
      </c>
      <c r="AS15" s="21">
        <v>55193.96</v>
      </c>
      <c r="AT15" s="21">
        <v>56756.89</v>
      </c>
      <c r="AU15" s="21">
        <v>62654.27</v>
      </c>
      <c r="AV15" s="21">
        <v>75667.75</v>
      </c>
      <c r="AW15" s="21">
        <v>66756.160000000003</v>
      </c>
      <c r="AX15" s="21">
        <v>73138.61</v>
      </c>
      <c r="AY15" s="21">
        <v>79000.44</v>
      </c>
      <c r="AZ15" s="21">
        <v>76757.31</v>
      </c>
      <c r="BA15" s="21">
        <v>93268.94</v>
      </c>
      <c r="BB15" s="23">
        <f t="shared" si="8"/>
        <v>838235.19</v>
      </c>
      <c r="BC15" s="23">
        <f t="shared" si="9"/>
        <v>824804.3</v>
      </c>
      <c r="BD15" s="21">
        <v>38842.959999999999</v>
      </c>
      <c r="BE15" s="21">
        <v>35038.870000000003</v>
      </c>
      <c r="BF15" s="21">
        <v>45025.16</v>
      </c>
      <c r="BG15" s="21">
        <v>38726.93</v>
      </c>
      <c r="BH15" s="21">
        <v>43768.15</v>
      </c>
      <c r="BI15" s="21">
        <v>46848.7</v>
      </c>
      <c r="BJ15" s="21">
        <v>44631.95</v>
      </c>
      <c r="BK15" s="21">
        <v>48005.66</v>
      </c>
      <c r="BL15" s="21">
        <v>50257.06</v>
      </c>
      <c r="BM15" s="21">
        <v>49259.89</v>
      </c>
      <c r="BN15" s="21">
        <v>65435.41</v>
      </c>
      <c r="BO15" s="21">
        <v>64937.68</v>
      </c>
      <c r="BP15" s="21">
        <v>62942.45</v>
      </c>
      <c r="BQ15" s="21">
        <v>49088.77</v>
      </c>
      <c r="BR15" s="21">
        <v>67869.2</v>
      </c>
      <c r="BS15" s="21">
        <v>56941.94</v>
      </c>
      <c r="BT15" s="21">
        <v>54286.25</v>
      </c>
      <c r="BU15" s="21">
        <v>69534.36</v>
      </c>
      <c r="BV15" s="21">
        <v>75350.070000000007</v>
      </c>
      <c r="BW15" s="21">
        <v>72881.58</v>
      </c>
      <c r="BX15" s="21">
        <v>78190.06</v>
      </c>
      <c r="BY15" s="21">
        <v>78229.570000000007</v>
      </c>
      <c r="BZ15" s="21">
        <v>96301.8</v>
      </c>
      <c r="CA15" s="21">
        <v>107537.57</v>
      </c>
      <c r="CB15" s="24">
        <f t="shared" si="10"/>
        <v>570778.42000000004</v>
      </c>
      <c r="CC15" s="24">
        <f t="shared" si="11"/>
        <v>869153.62000000011</v>
      </c>
    </row>
    <row r="16" spans="1:81" x14ac:dyDescent="0.25">
      <c r="A16" s="25" t="s">
        <v>25</v>
      </c>
      <c r="B16" s="25"/>
      <c r="C16" s="25" t="s">
        <v>31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2">
        <f>SUM(D16:O16)</f>
        <v>0</v>
      </c>
      <c r="AC16" s="22">
        <f t="shared" ref="AC16:AC19" si="12">SUM(P16:AA16)</f>
        <v>0</v>
      </c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3">
        <f t="shared" si="8"/>
        <v>0</v>
      </c>
      <c r="BC16" s="23">
        <f t="shared" si="9"/>
        <v>0</v>
      </c>
      <c r="BD16" s="26">
        <v>310.89999999999998</v>
      </c>
      <c r="BE16" s="26">
        <v>280.45</v>
      </c>
      <c r="BF16" s="26">
        <v>360.38</v>
      </c>
      <c r="BG16" s="26">
        <v>309.97000000000003</v>
      </c>
      <c r="BH16" s="26">
        <v>350.32</v>
      </c>
      <c r="BI16" s="26">
        <v>374.98</v>
      </c>
      <c r="BJ16" s="26">
        <v>357.24</v>
      </c>
      <c r="BK16" s="26">
        <v>384.24</v>
      </c>
      <c r="BL16" s="26">
        <v>402.26</v>
      </c>
      <c r="BM16" s="26">
        <v>394.28</v>
      </c>
      <c r="BN16" s="26">
        <v>523.75</v>
      </c>
      <c r="BO16" s="26">
        <v>519.76</v>
      </c>
      <c r="BP16" s="26">
        <v>770.51</v>
      </c>
      <c r="BQ16" s="26">
        <v>600.91999999999996</v>
      </c>
      <c r="BR16" s="26">
        <v>830.82</v>
      </c>
      <c r="BS16" s="26">
        <v>697.05</v>
      </c>
      <c r="BT16" s="26">
        <v>664.54</v>
      </c>
      <c r="BU16" s="26">
        <v>851.2</v>
      </c>
      <c r="BV16" s="26">
        <v>922.4</v>
      </c>
      <c r="BW16" s="26">
        <v>892.18</v>
      </c>
      <c r="BX16" s="26">
        <v>957.16</v>
      </c>
      <c r="BY16" s="26">
        <v>957.64</v>
      </c>
      <c r="BZ16" s="26">
        <v>1178.8800000000001</v>
      </c>
      <c r="CA16" s="26">
        <v>1316.41</v>
      </c>
      <c r="CB16" s="24">
        <f t="shared" si="10"/>
        <v>4568.53</v>
      </c>
      <c r="CC16" s="24">
        <f t="shared" si="11"/>
        <v>10639.71</v>
      </c>
    </row>
    <row r="17" spans="1:81" x14ac:dyDescent="0.25">
      <c r="A17" s="20" t="s">
        <v>25</v>
      </c>
      <c r="B17" s="20"/>
      <c r="C17" s="20" t="s">
        <v>32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>
        <f>SUM(D17:O17)</f>
        <v>0</v>
      </c>
      <c r="AC17" s="22">
        <f t="shared" si="12"/>
        <v>0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3">
        <f t="shared" si="8"/>
        <v>0</v>
      </c>
      <c r="BC17" s="23">
        <f t="shared" si="9"/>
        <v>0</v>
      </c>
      <c r="BD17" s="21">
        <v>2115.4699999999998</v>
      </c>
      <c r="BE17" s="21">
        <v>1908.29</v>
      </c>
      <c r="BF17" s="21">
        <v>2452.16</v>
      </c>
      <c r="BG17" s="21">
        <v>2109.15</v>
      </c>
      <c r="BH17" s="21">
        <v>2383.6999999999998</v>
      </c>
      <c r="BI17" s="21">
        <v>2551.48</v>
      </c>
      <c r="BJ17" s="21">
        <v>2430.75</v>
      </c>
      <c r="BK17" s="21">
        <v>2614.4899999999998</v>
      </c>
      <c r="BL17" s="21">
        <v>2737.1</v>
      </c>
      <c r="BM17" s="21">
        <v>2682.8</v>
      </c>
      <c r="BN17" s="21">
        <v>3563.75</v>
      </c>
      <c r="BO17" s="21">
        <v>3536.64</v>
      </c>
      <c r="BP17" s="21">
        <v>3427.98</v>
      </c>
      <c r="BQ17" s="21">
        <v>2673.48</v>
      </c>
      <c r="BR17" s="21">
        <v>3696.3</v>
      </c>
      <c r="BS17" s="21">
        <v>3101.18</v>
      </c>
      <c r="BT17" s="21">
        <v>2956.54</v>
      </c>
      <c r="BU17" s="21">
        <v>3786.99</v>
      </c>
      <c r="BV17" s="21">
        <v>4103.72</v>
      </c>
      <c r="BW17" s="21">
        <v>3969.28</v>
      </c>
      <c r="BX17" s="21">
        <v>4258.3900000000003</v>
      </c>
      <c r="BY17" s="21">
        <v>4260.54</v>
      </c>
      <c r="BZ17" s="21">
        <v>5244.8</v>
      </c>
      <c r="CA17" s="21">
        <v>5856.71</v>
      </c>
      <c r="CB17" s="24">
        <f t="shared" si="10"/>
        <v>31085.779999999995</v>
      </c>
      <c r="CC17" s="24">
        <f t="shared" si="11"/>
        <v>47335.91</v>
      </c>
    </row>
    <row r="18" spans="1:81" x14ac:dyDescent="0.25">
      <c r="A18" s="25" t="s">
        <v>25</v>
      </c>
      <c r="B18" s="25"/>
      <c r="C18" s="25" t="s">
        <v>33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2">
        <f>SUM(D18:O18)</f>
        <v>0</v>
      </c>
      <c r="AC18" s="22">
        <f t="shared" si="12"/>
        <v>0</v>
      </c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3">
        <f t="shared" si="8"/>
        <v>0</v>
      </c>
      <c r="BC18" s="23">
        <f t="shared" si="9"/>
        <v>0</v>
      </c>
      <c r="BD18" s="26">
        <v>3333.31</v>
      </c>
      <c r="BE18" s="26">
        <v>3006.86</v>
      </c>
      <c r="BF18" s="26">
        <v>3863.84</v>
      </c>
      <c r="BG18" s="26">
        <v>3323.36</v>
      </c>
      <c r="BH18" s="26">
        <v>3755.97</v>
      </c>
      <c r="BI18" s="26">
        <v>4020.33</v>
      </c>
      <c r="BJ18" s="26">
        <v>3830.1</v>
      </c>
      <c r="BK18" s="26">
        <v>4119.6099999999997</v>
      </c>
      <c r="BL18" s="26">
        <v>4312.8100000000004</v>
      </c>
      <c r="BM18" s="26">
        <v>4227.24</v>
      </c>
      <c r="BN18" s="26">
        <v>5615.35</v>
      </c>
      <c r="BO18" s="26">
        <v>5572.63</v>
      </c>
      <c r="BP18" s="26">
        <v>7625.52</v>
      </c>
      <c r="BQ18" s="26">
        <v>5947.14</v>
      </c>
      <c r="BR18" s="26">
        <v>8222.4</v>
      </c>
      <c r="BS18" s="26">
        <v>6898.56</v>
      </c>
      <c r="BT18" s="26">
        <v>6576.82</v>
      </c>
      <c r="BU18" s="26">
        <v>8424.14</v>
      </c>
      <c r="BV18" s="26">
        <v>9128.7199999999993</v>
      </c>
      <c r="BW18" s="26">
        <v>8829.66</v>
      </c>
      <c r="BX18" s="26">
        <v>9472.7800000000007</v>
      </c>
      <c r="BY18" s="26">
        <v>9477.57</v>
      </c>
      <c r="BZ18" s="26">
        <v>11667.03</v>
      </c>
      <c r="CA18" s="26">
        <v>13028.26</v>
      </c>
      <c r="CB18" s="24">
        <f t="shared" si="10"/>
        <v>48981.409999999989</v>
      </c>
      <c r="CC18" s="24">
        <f t="shared" si="11"/>
        <v>105298.59999999999</v>
      </c>
    </row>
    <row r="19" spans="1:81" x14ac:dyDescent="0.25">
      <c r="A19" s="27" t="s">
        <v>25</v>
      </c>
      <c r="B19" s="27"/>
      <c r="C19" s="27" t="s">
        <v>24</v>
      </c>
      <c r="D19" s="28">
        <f t="shared" ref="D19:AA19" si="13">SUM(D11:D18)</f>
        <v>1379352.12</v>
      </c>
      <c r="E19" s="28">
        <f t="shared" si="13"/>
        <v>1319360.5</v>
      </c>
      <c r="F19" s="28">
        <f t="shared" si="13"/>
        <v>1220648.3399999999</v>
      </c>
      <c r="G19" s="28">
        <f t="shared" si="13"/>
        <v>1232365.8500000001</v>
      </c>
      <c r="H19" s="28">
        <f t="shared" si="13"/>
        <v>1196784.71</v>
      </c>
      <c r="I19" s="28">
        <f t="shared" si="13"/>
        <v>1527269.64</v>
      </c>
      <c r="J19" s="28">
        <f t="shared" si="13"/>
        <v>1614094.5299999998</v>
      </c>
      <c r="K19" s="28">
        <f t="shared" si="13"/>
        <v>1776254.85</v>
      </c>
      <c r="L19" s="28">
        <f t="shared" si="13"/>
        <v>1596955.28</v>
      </c>
      <c r="M19" s="28">
        <f t="shared" si="13"/>
        <v>1812933.44</v>
      </c>
      <c r="N19" s="28">
        <f t="shared" si="13"/>
        <v>1739609.9</v>
      </c>
      <c r="O19" s="28">
        <f t="shared" si="13"/>
        <v>2124531.35</v>
      </c>
      <c r="P19" s="28">
        <f t="shared" si="13"/>
        <v>962481.68</v>
      </c>
      <c r="Q19" s="28">
        <f t="shared" si="13"/>
        <v>887818.8899999999</v>
      </c>
      <c r="R19" s="28">
        <f t="shared" si="13"/>
        <v>960226.36</v>
      </c>
      <c r="S19" s="28">
        <f t="shared" si="13"/>
        <v>915962.38</v>
      </c>
      <c r="T19" s="28">
        <f t="shared" si="13"/>
        <v>886312.66</v>
      </c>
      <c r="U19" s="28">
        <f t="shared" si="13"/>
        <v>995447.89</v>
      </c>
      <c r="V19" s="28">
        <f t="shared" si="13"/>
        <v>1092054.21</v>
      </c>
      <c r="W19" s="28">
        <f t="shared" si="13"/>
        <v>950823.84000000008</v>
      </c>
      <c r="X19" s="28">
        <f t="shared" si="13"/>
        <v>1114950.27</v>
      </c>
      <c r="Y19" s="28">
        <f t="shared" si="13"/>
        <v>1189420.19</v>
      </c>
      <c r="Z19" s="28">
        <f t="shared" si="13"/>
        <v>1256351.8600000001</v>
      </c>
      <c r="AA19" s="28">
        <f t="shared" si="13"/>
        <v>1586853.1</v>
      </c>
      <c r="AB19" s="28">
        <f>SUM(D19:O19)</f>
        <v>18540160.509999998</v>
      </c>
      <c r="AC19" s="28">
        <f t="shared" si="12"/>
        <v>12798703.329999998</v>
      </c>
      <c r="AD19" s="28">
        <f t="shared" ref="AD19:BA19" si="14">SUM(AD11:AD18)</f>
        <v>462147.11</v>
      </c>
      <c r="AE19" s="28">
        <f t="shared" si="14"/>
        <v>501829.45</v>
      </c>
      <c r="AF19" s="28">
        <f t="shared" si="14"/>
        <v>472189.01</v>
      </c>
      <c r="AG19" s="28">
        <f t="shared" si="14"/>
        <v>435874.85000000003</v>
      </c>
      <c r="AH19" s="28">
        <f t="shared" si="14"/>
        <v>533445.35000000009</v>
      </c>
      <c r="AI19" s="28">
        <f t="shared" si="14"/>
        <v>537245.66</v>
      </c>
      <c r="AJ19" s="28">
        <f t="shared" si="14"/>
        <v>592945.88</v>
      </c>
      <c r="AK19" s="28">
        <f t="shared" si="14"/>
        <v>532881.88</v>
      </c>
      <c r="AL19" s="28">
        <f t="shared" si="14"/>
        <v>616005.36</v>
      </c>
      <c r="AM19" s="28">
        <f t="shared" si="14"/>
        <v>652317.88</v>
      </c>
      <c r="AN19" s="28">
        <f t="shared" si="14"/>
        <v>696132.19</v>
      </c>
      <c r="AO19" s="28">
        <f t="shared" si="14"/>
        <v>880640.48</v>
      </c>
      <c r="AP19" s="28">
        <f t="shared" si="14"/>
        <v>539292.52</v>
      </c>
      <c r="AQ19" s="28">
        <f t="shared" si="14"/>
        <v>493108.87000000005</v>
      </c>
      <c r="AR19" s="28">
        <f t="shared" si="14"/>
        <v>599316.54</v>
      </c>
      <c r="AS19" s="28">
        <f t="shared" si="14"/>
        <v>485216.25</v>
      </c>
      <c r="AT19" s="28">
        <f t="shared" si="14"/>
        <v>498956.16000000003</v>
      </c>
      <c r="AU19" s="28">
        <f t="shared" si="14"/>
        <v>550800.64000000001</v>
      </c>
      <c r="AV19" s="28">
        <f t="shared" si="14"/>
        <v>665203.63</v>
      </c>
      <c r="AW19" s="28">
        <f t="shared" si="14"/>
        <v>586860.80999999994</v>
      </c>
      <c r="AX19" s="28">
        <f t="shared" si="14"/>
        <v>642969.66999999993</v>
      </c>
      <c r="AY19" s="28">
        <f t="shared" si="14"/>
        <v>694501.66000000015</v>
      </c>
      <c r="AZ19" s="28">
        <f t="shared" si="14"/>
        <v>674782.08999999985</v>
      </c>
      <c r="BA19" s="28">
        <f t="shared" si="14"/>
        <v>819937.6100000001</v>
      </c>
      <c r="BB19" s="28">
        <f t="shared" si="8"/>
        <v>6913655.1000000015</v>
      </c>
      <c r="BC19" s="28">
        <f t="shared" si="9"/>
        <v>7250946.4500000002</v>
      </c>
      <c r="BD19" s="28">
        <f t="shared" ref="BD19:CA19" si="15">SUM(BD11:BD18)</f>
        <v>267814.88999999996</v>
      </c>
      <c r="BE19" s="28">
        <f t="shared" si="15"/>
        <v>241586.38</v>
      </c>
      <c r="BF19" s="28">
        <f t="shared" si="15"/>
        <v>310439.98</v>
      </c>
      <c r="BG19" s="28">
        <f t="shared" si="15"/>
        <v>267014.88999999996</v>
      </c>
      <c r="BH19" s="28">
        <f t="shared" si="15"/>
        <v>301773.14</v>
      </c>
      <c r="BI19" s="28">
        <f t="shared" si="15"/>
        <v>323012.96999999997</v>
      </c>
      <c r="BJ19" s="28">
        <f t="shared" si="15"/>
        <v>307728.87</v>
      </c>
      <c r="BK19" s="28">
        <f t="shared" si="15"/>
        <v>330989.95999999996</v>
      </c>
      <c r="BL19" s="28">
        <f t="shared" si="15"/>
        <v>346512.93</v>
      </c>
      <c r="BM19" s="28">
        <f t="shared" si="15"/>
        <v>339637.65</v>
      </c>
      <c r="BN19" s="28">
        <f t="shared" si="15"/>
        <v>451164.80000000005</v>
      </c>
      <c r="BO19" s="28">
        <f t="shared" si="15"/>
        <v>447732.92000000004</v>
      </c>
      <c r="BP19" s="28">
        <f t="shared" si="15"/>
        <v>529521.13</v>
      </c>
      <c r="BQ19" s="28">
        <f t="shared" si="15"/>
        <v>412973.17</v>
      </c>
      <c r="BR19" s="28">
        <f t="shared" si="15"/>
        <v>570968.85</v>
      </c>
      <c r="BS19" s="28">
        <f t="shared" si="15"/>
        <v>479040.2</v>
      </c>
      <c r="BT19" s="28">
        <f t="shared" si="15"/>
        <v>456698.44999999995</v>
      </c>
      <c r="BU19" s="28">
        <f t="shared" si="15"/>
        <v>584977.5</v>
      </c>
      <c r="BV19" s="28">
        <f t="shared" si="15"/>
        <v>633903.78999999992</v>
      </c>
      <c r="BW19" s="28">
        <f t="shared" si="15"/>
        <v>613136.9</v>
      </c>
      <c r="BX19" s="28">
        <f t="shared" si="15"/>
        <v>657795.96</v>
      </c>
      <c r="BY19" s="28">
        <f t="shared" si="15"/>
        <v>658128.35000000009</v>
      </c>
      <c r="BZ19" s="28">
        <f t="shared" si="15"/>
        <v>810166.12000000011</v>
      </c>
      <c r="CA19" s="28">
        <f t="shared" si="15"/>
        <v>904690.21000000008</v>
      </c>
      <c r="CB19" s="28">
        <f t="shared" si="10"/>
        <v>3935409.38</v>
      </c>
      <c r="CC19" s="28">
        <f t="shared" si="11"/>
        <v>7312000.6300000008</v>
      </c>
    </row>
    <row r="21" spans="1:81" x14ac:dyDescent="0.25">
      <c r="A21" s="20" t="s">
        <v>34</v>
      </c>
      <c r="B21" s="20"/>
      <c r="C21" s="20" t="s">
        <v>35</v>
      </c>
      <c r="D21" s="21">
        <v>4323.41</v>
      </c>
      <c r="E21" s="21">
        <v>4499.26</v>
      </c>
      <c r="F21" s="21">
        <v>5261.68</v>
      </c>
      <c r="G21" s="21">
        <v>5135.3599999999997</v>
      </c>
      <c r="H21" s="21">
        <v>4631.79</v>
      </c>
      <c r="I21" s="21">
        <v>5453.09</v>
      </c>
      <c r="J21" s="21">
        <v>5065.5600000000004</v>
      </c>
      <c r="K21" s="21">
        <v>5496.83</v>
      </c>
      <c r="L21" s="21">
        <v>6505.99</v>
      </c>
      <c r="M21" s="21">
        <v>6649.96</v>
      </c>
      <c r="N21" s="21">
        <v>6675.36</v>
      </c>
      <c r="O21" s="21">
        <v>7433.89</v>
      </c>
      <c r="P21" s="21">
        <v>3560.33</v>
      </c>
      <c r="Q21" s="21">
        <v>3319.26</v>
      </c>
      <c r="R21" s="21">
        <v>3347.2</v>
      </c>
      <c r="S21" s="21">
        <v>3637.67</v>
      </c>
      <c r="T21" s="21">
        <v>3898.1</v>
      </c>
      <c r="U21" s="21">
        <v>3613.53</v>
      </c>
      <c r="V21" s="21">
        <v>4580.6899999999996</v>
      </c>
      <c r="W21" s="21">
        <v>4296.6000000000004</v>
      </c>
      <c r="X21" s="21">
        <v>4154.72</v>
      </c>
      <c r="Y21" s="21">
        <v>5088.5600000000004</v>
      </c>
      <c r="Z21" s="21">
        <v>5224.78</v>
      </c>
      <c r="AA21" s="21">
        <v>5389.92</v>
      </c>
      <c r="AB21" s="22">
        <f>SUM(D21:AA21)</f>
        <v>117243.54000000001</v>
      </c>
      <c r="AC21" s="22">
        <f>SUM(D21:AA21)</f>
        <v>117243.54000000001</v>
      </c>
      <c r="AD21" s="21">
        <v>6338.93</v>
      </c>
      <c r="AE21" s="21">
        <v>5026.6899999999996</v>
      </c>
      <c r="AF21" s="21">
        <v>6518.28</v>
      </c>
      <c r="AG21" s="21">
        <v>5903.38</v>
      </c>
      <c r="AH21" s="21">
        <v>6474.38</v>
      </c>
      <c r="AI21" s="21">
        <v>5891.55</v>
      </c>
      <c r="AJ21" s="21">
        <v>7144.68</v>
      </c>
      <c r="AK21" s="21">
        <v>7630.57</v>
      </c>
      <c r="AL21" s="21">
        <v>8344.6299999999992</v>
      </c>
      <c r="AM21" s="21">
        <v>7235.41</v>
      </c>
      <c r="AN21" s="21">
        <v>7837.74</v>
      </c>
      <c r="AO21" s="21">
        <v>9828.67</v>
      </c>
      <c r="AP21" s="21">
        <v>7972.72</v>
      </c>
      <c r="AQ21" s="21">
        <v>6950.76</v>
      </c>
      <c r="AR21" s="21">
        <v>8418.36</v>
      </c>
      <c r="AS21" s="21">
        <v>8030.97</v>
      </c>
      <c r="AT21" s="21">
        <v>8328.2900000000009</v>
      </c>
      <c r="AU21" s="21">
        <v>8723.69</v>
      </c>
      <c r="AV21" s="21">
        <v>7913.49</v>
      </c>
      <c r="AW21" s="21">
        <v>8062.14</v>
      </c>
      <c r="AX21" s="21">
        <v>10390.5</v>
      </c>
      <c r="AY21" s="21">
        <v>9388.5300000000007</v>
      </c>
      <c r="AZ21" s="21">
        <v>11601.19</v>
      </c>
      <c r="BA21" s="21">
        <v>11406.19</v>
      </c>
      <c r="BB21" s="23">
        <f t="shared" ref="BB21:BB29" si="16">SUM(AD21:AO21)</f>
        <v>84174.91</v>
      </c>
      <c r="BC21" s="23">
        <f t="shared" ref="BC21:BC29" si="17">SUM(AP21:BA21)</f>
        <v>107186.83000000002</v>
      </c>
      <c r="BD21" s="21">
        <v>3869.14</v>
      </c>
      <c r="BE21" s="21">
        <v>3890.78</v>
      </c>
      <c r="BF21" s="21">
        <v>4603.12</v>
      </c>
      <c r="BG21" s="21">
        <v>4649.2</v>
      </c>
      <c r="BH21" s="21">
        <v>4000.91</v>
      </c>
      <c r="BI21" s="21">
        <v>4394.55</v>
      </c>
      <c r="BJ21" s="21">
        <v>5569.57</v>
      </c>
      <c r="BK21" s="21">
        <v>5423.83</v>
      </c>
      <c r="BL21" s="21">
        <v>5348.1</v>
      </c>
      <c r="BM21" s="21">
        <v>5751.18</v>
      </c>
      <c r="BN21" s="21">
        <v>6356.68</v>
      </c>
      <c r="BO21" s="21">
        <v>6450.43</v>
      </c>
      <c r="BP21" s="21">
        <v>6513.47</v>
      </c>
      <c r="BQ21" s="21">
        <v>5195.8900000000003</v>
      </c>
      <c r="BR21" s="21">
        <v>5570.24</v>
      </c>
      <c r="BS21" s="21">
        <v>6330.5</v>
      </c>
      <c r="BT21" s="21">
        <v>5413.72</v>
      </c>
      <c r="BU21" s="21">
        <v>6115.59</v>
      </c>
      <c r="BV21" s="21">
        <v>6367.18</v>
      </c>
      <c r="BW21" s="21">
        <v>6543.37</v>
      </c>
      <c r="BX21" s="21">
        <v>7749.77</v>
      </c>
      <c r="BY21" s="21">
        <v>7521.67</v>
      </c>
      <c r="BZ21" s="21">
        <v>8786.43</v>
      </c>
      <c r="CA21" s="21">
        <v>8921.56</v>
      </c>
      <c r="CB21" s="24">
        <f t="shared" ref="CB21:CB29" si="18">SUM(BD21:BO21)</f>
        <v>60307.49</v>
      </c>
      <c r="CC21" s="24">
        <f t="shared" ref="CC21:CC29" si="19">SUM(BP21:CA21)</f>
        <v>81029.390000000014</v>
      </c>
    </row>
    <row r="22" spans="1:81" x14ac:dyDescent="0.25">
      <c r="A22" s="25" t="s">
        <v>34</v>
      </c>
      <c r="B22" s="25"/>
      <c r="C22" s="25" t="s">
        <v>36</v>
      </c>
      <c r="D22" s="26">
        <v>319.72000000000003</v>
      </c>
      <c r="E22" s="26">
        <v>332.72</v>
      </c>
      <c r="F22" s="26">
        <v>389.1</v>
      </c>
      <c r="G22" s="26">
        <v>379.76</v>
      </c>
      <c r="H22" s="26">
        <v>342.52</v>
      </c>
      <c r="I22" s="26">
        <v>403.26</v>
      </c>
      <c r="J22" s="26">
        <v>374.6</v>
      </c>
      <c r="K22" s="26">
        <v>406.49</v>
      </c>
      <c r="L22" s="26">
        <v>481.12</v>
      </c>
      <c r="M22" s="26">
        <v>491.77</v>
      </c>
      <c r="N22" s="26">
        <v>493.64</v>
      </c>
      <c r="O22" s="26">
        <v>549.73</v>
      </c>
      <c r="P22" s="26">
        <v>307.17</v>
      </c>
      <c r="Q22" s="26">
        <v>286.37</v>
      </c>
      <c r="R22" s="26">
        <v>288.77999999999997</v>
      </c>
      <c r="S22" s="26">
        <v>313.83999999999997</v>
      </c>
      <c r="T22" s="26">
        <v>336.31</v>
      </c>
      <c r="U22" s="26">
        <v>311.76</v>
      </c>
      <c r="V22" s="26">
        <v>395.2</v>
      </c>
      <c r="W22" s="26">
        <v>370.69</v>
      </c>
      <c r="X22" s="26">
        <v>358.45</v>
      </c>
      <c r="Y22" s="26">
        <v>439.02</v>
      </c>
      <c r="Z22" s="26">
        <v>450.77</v>
      </c>
      <c r="AA22" s="26">
        <v>465</v>
      </c>
      <c r="AB22" s="22">
        <f>SUM(D22:AA22)</f>
        <v>9287.7900000000009</v>
      </c>
      <c r="AC22" s="22">
        <f>SUM(D22:AA22)</f>
        <v>9287.7900000000009</v>
      </c>
      <c r="AD22" s="26">
        <v>8294.44</v>
      </c>
      <c r="AE22" s="26">
        <v>6577.38</v>
      </c>
      <c r="AF22" s="26">
        <v>8529.11</v>
      </c>
      <c r="AG22" s="26">
        <v>7724.53</v>
      </c>
      <c r="AH22" s="26">
        <v>8471.67</v>
      </c>
      <c r="AI22" s="26">
        <v>7709.05</v>
      </c>
      <c r="AJ22" s="26">
        <v>9348.76</v>
      </c>
      <c r="AK22" s="26">
        <v>9984.5400000000009</v>
      </c>
      <c r="AL22" s="26">
        <v>10918.88</v>
      </c>
      <c r="AM22" s="26">
        <v>9467.4699999999993</v>
      </c>
      <c r="AN22" s="26">
        <v>10255.620000000001</v>
      </c>
      <c r="AO22" s="26">
        <v>12860.71</v>
      </c>
      <c r="AP22" s="26">
        <v>8061.28</v>
      </c>
      <c r="AQ22" s="26">
        <v>7027.97</v>
      </c>
      <c r="AR22" s="26">
        <v>8511.86</v>
      </c>
      <c r="AS22" s="26">
        <v>8120.17</v>
      </c>
      <c r="AT22" s="26">
        <v>8420.7900000000009</v>
      </c>
      <c r="AU22" s="26">
        <v>8820.59</v>
      </c>
      <c r="AV22" s="26">
        <v>8001.39</v>
      </c>
      <c r="AW22" s="26">
        <v>8151.69</v>
      </c>
      <c r="AX22" s="26">
        <v>10505.91</v>
      </c>
      <c r="AY22" s="26">
        <v>9492.81</v>
      </c>
      <c r="AZ22" s="26">
        <v>11730.04</v>
      </c>
      <c r="BA22" s="26">
        <v>11532.87</v>
      </c>
      <c r="BB22" s="23">
        <f t="shared" si="16"/>
        <v>110142.16</v>
      </c>
      <c r="BC22" s="23">
        <f t="shared" si="17"/>
        <v>108377.37</v>
      </c>
      <c r="BD22" s="26">
        <v>10635.06</v>
      </c>
      <c r="BE22" s="26">
        <v>10694.55</v>
      </c>
      <c r="BF22" s="26">
        <v>12652.55</v>
      </c>
      <c r="BG22" s="26">
        <v>12779.2</v>
      </c>
      <c r="BH22" s="26">
        <v>10997.24</v>
      </c>
      <c r="BI22" s="26">
        <v>12079.24</v>
      </c>
      <c r="BJ22" s="26">
        <v>15309.01</v>
      </c>
      <c r="BK22" s="26">
        <v>14908.41</v>
      </c>
      <c r="BL22" s="26">
        <v>14700.25</v>
      </c>
      <c r="BM22" s="26">
        <v>15808.19</v>
      </c>
      <c r="BN22" s="26">
        <v>17472.54</v>
      </c>
      <c r="BO22" s="26">
        <v>17730.22</v>
      </c>
      <c r="BP22" s="26">
        <v>31032.74</v>
      </c>
      <c r="BQ22" s="26">
        <v>24755.26</v>
      </c>
      <c r="BR22" s="26">
        <v>26538.83</v>
      </c>
      <c r="BS22" s="26">
        <v>30160.97</v>
      </c>
      <c r="BT22" s="26">
        <v>25793.11</v>
      </c>
      <c r="BU22" s="26">
        <v>29137.09</v>
      </c>
      <c r="BV22" s="26">
        <v>30335.77</v>
      </c>
      <c r="BW22" s="26">
        <v>31175.18</v>
      </c>
      <c r="BX22" s="26">
        <v>36922.97</v>
      </c>
      <c r="BY22" s="26">
        <v>35836.199999999997</v>
      </c>
      <c r="BZ22" s="26">
        <v>41861.980000000003</v>
      </c>
      <c r="CA22" s="26">
        <v>42505.7</v>
      </c>
      <c r="CB22" s="24">
        <f t="shared" si="18"/>
        <v>165766.46</v>
      </c>
      <c r="CC22" s="24">
        <f t="shared" si="19"/>
        <v>386055.8</v>
      </c>
    </row>
    <row r="23" spans="1:81" x14ac:dyDescent="0.25">
      <c r="A23" s="20" t="s">
        <v>34</v>
      </c>
      <c r="B23" s="20"/>
      <c r="C23" s="20" t="s">
        <v>37</v>
      </c>
      <c r="D23" s="21">
        <v>343125.52</v>
      </c>
      <c r="E23" s="21">
        <v>357081.43</v>
      </c>
      <c r="F23" s="21">
        <v>417591.16</v>
      </c>
      <c r="G23" s="21">
        <v>407565.23</v>
      </c>
      <c r="H23" s="21">
        <v>367599.91</v>
      </c>
      <c r="I23" s="21">
        <v>432782.31</v>
      </c>
      <c r="J23" s="21">
        <v>402025.58</v>
      </c>
      <c r="K23" s="21">
        <v>436253.42</v>
      </c>
      <c r="L23" s="21">
        <v>516344.77</v>
      </c>
      <c r="M23" s="21">
        <v>527771.18999999994</v>
      </c>
      <c r="N23" s="21">
        <v>529787.19999999995</v>
      </c>
      <c r="O23" s="21">
        <v>589987.42000000004</v>
      </c>
      <c r="P23" s="21">
        <v>176602.4</v>
      </c>
      <c r="Q23" s="21">
        <v>164644.68</v>
      </c>
      <c r="R23" s="21">
        <v>166030.53</v>
      </c>
      <c r="S23" s="21">
        <v>180438.69</v>
      </c>
      <c r="T23" s="21">
        <v>193357.02</v>
      </c>
      <c r="U23" s="21">
        <v>179241.29</v>
      </c>
      <c r="V23" s="21">
        <v>227215.2</v>
      </c>
      <c r="W23" s="21">
        <v>213123.57</v>
      </c>
      <c r="X23" s="21">
        <v>206085.98</v>
      </c>
      <c r="Y23" s="21">
        <v>252407.2</v>
      </c>
      <c r="Z23" s="21">
        <v>259163.97</v>
      </c>
      <c r="AA23" s="21">
        <v>267355.32</v>
      </c>
      <c r="AB23" s="22">
        <f>SUM(D23:AA23)</f>
        <v>7813580.9900000012</v>
      </c>
      <c r="AC23" s="22">
        <f>SUM(D23:AA23)</f>
        <v>7813580.9900000012</v>
      </c>
      <c r="AD23" s="21">
        <v>542200.9</v>
      </c>
      <c r="AE23" s="21">
        <v>429958.26</v>
      </c>
      <c r="AF23" s="21">
        <v>557541.66</v>
      </c>
      <c r="AG23" s="21">
        <v>504946.42</v>
      </c>
      <c r="AH23" s="21">
        <v>553786.66</v>
      </c>
      <c r="AI23" s="21">
        <v>503934.61</v>
      </c>
      <c r="AJ23" s="21">
        <v>611121.01</v>
      </c>
      <c r="AK23" s="21">
        <v>652681.92000000004</v>
      </c>
      <c r="AL23" s="21">
        <v>713758.52</v>
      </c>
      <c r="AM23" s="21">
        <v>618881.47</v>
      </c>
      <c r="AN23" s="21">
        <v>670401.73</v>
      </c>
      <c r="AO23" s="21">
        <v>840695.11</v>
      </c>
      <c r="AP23" s="21">
        <v>681947.69</v>
      </c>
      <c r="AQ23" s="21">
        <v>594534.26</v>
      </c>
      <c r="AR23" s="21">
        <v>720064.91</v>
      </c>
      <c r="AS23" s="21">
        <v>686929.41</v>
      </c>
      <c r="AT23" s="21">
        <v>712360.83</v>
      </c>
      <c r="AU23" s="21">
        <v>746181.87</v>
      </c>
      <c r="AV23" s="21">
        <v>676881.32</v>
      </c>
      <c r="AW23" s="21">
        <v>689595.88</v>
      </c>
      <c r="AX23" s="21">
        <v>888752.36</v>
      </c>
      <c r="AY23" s="21">
        <v>803048.52</v>
      </c>
      <c r="AZ23" s="21">
        <v>992308.65</v>
      </c>
      <c r="BA23" s="21">
        <v>975629.59</v>
      </c>
      <c r="BB23" s="23">
        <f t="shared" si="16"/>
        <v>7199908.2699999986</v>
      </c>
      <c r="BC23" s="23">
        <f t="shared" si="17"/>
        <v>9168235.290000001</v>
      </c>
      <c r="BD23" s="21">
        <v>434167.12</v>
      </c>
      <c r="BE23" s="21">
        <v>436595.89</v>
      </c>
      <c r="BF23" s="21">
        <v>516529.44</v>
      </c>
      <c r="BG23" s="21">
        <v>521699.81</v>
      </c>
      <c r="BH23" s="21">
        <v>448952.86</v>
      </c>
      <c r="BI23" s="21">
        <v>493124.71</v>
      </c>
      <c r="BJ23" s="21">
        <v>624976.89</v>
      </c>
      <c r="BK23" s="21">
        <v>608622.76</v>
      </c>
      <c r="BL23" s="21">
        <v>600124.9</v>
      </c>
      <c r="BM23" s="21">
        <v>645355.54</v>
      </c>
      <c r="BN23" s="21">
        <v>713301.19</v>
      </c>
      <c r="BO23" s="21">
        <v>723821.09</v>
      </c>
      <c r="BP23" s="21">
        <v>1169431.93</v>
      </c>
      <c r="BQ23" s="21">
        <v>932872.63</v>
      </c>
      <c r="BR23" s="21">
        <v>1000084.37</v>
      </c>
      <c r="BS23" s="21">
        <v>1136580.45</v>
      </c>
      <c r="BT23" s="21">
        <v>971982.75</v>
      </c>
      <c r="BU23" s="21">
        <v>1097996.73</v>
      </c>
      <c r="BV23" s="21">
        <v>1143167.46</v>
      </c>
      <c r="BW23" s="21">
        <v>1174799.8700000001</v>
      </c>
      <c r="BX23" s="21">
        <v>1391398.36</v>
      </c>
      <c r="BY23" s="21">
        <v>1350444.84</v>
      </c>
      <c r="BZ23" s="21">
        <v>1577519.28</v>
      </c>
      <c r="CA23" s="21">
        <v>1601777.36</v>
      </c>
      <c r="CB23" s="24">
        <f t="shared" si="18"/>
        <v>6767272.2000000011</v>
      </c>
      <c r="CC23" s="24">
        <f t="shared" si="19"/>
        <v>14548056.029999997</v>
      </c>
    </row>
    <row r="24" spans="1:81" x14ac:dyDescent="0.25">
      <c r="A24" s="25" t="s">
        <v>34</v>
      </c>
      <c r="B24" s="25"/>
      <c r="C24" s="25" t="s">
        <v>38</v>
      </c>
      <c r="D24" s="26">
        <v>173501.96</v>
      </c>
      <c r="E24" s="26">
        <v>180558.79</v>
      </c>
      <c r="F24" s="26">
        <v>211155.63</v>
      </c>
      <c r="G24" s="26">
        <v>206086</v>
      </c>
      <c r="H24" s="26">
        <v>185877.47</v>
      </c>
      <c r="I24" s="26">
        <v>218837.05</v>
      </c>
      <c r="J24" s="26">
        <v>203284.86</v>
      </c>
      <c r="K24" s="26">
        <v>220592.23</v>
      </c>
      <c r="L24" s="26">
        <v>261090.54</v>
      </c>
      <c r="M24" s="26">
        <v>266868.33</v>
      </c>
      <c r="N24" s="26">
        <v>267887.73</v>
      </c>
      <c r="O24" s="26">
        <v>298328.06</v>
      </c>
      <c r="P24" s="26">
        <v>107159.14</v>
      </c>
      <c r="Q24" s="26">
        <v>99903.41</v>
      </c>
      <c r="R24" s="26">
        <v>100744.32000000001</v>
      </c>
      <c r="S24" s="26">
        <v>109486.93</v>
      </c>
      <c r="T24" s="26">
        <v>117325.54</v>
      </c>
      <c r="U24" s="26">
        <v>108760.37</v>
      </c>
      <c r="V24" s="26">
        <v>137870.07</v>
      </c>
      <c r="W24" s="26">
        <v>129319.52</v>
      </c>
      <c r="X24" s="26">
        <v>125049.24</v>
      </c>
      <c r="Y24" s="26">
        <v>153156.12</v>
      </c>
      <c r="Z24" s="26">
        <v>157256</v>
      </c>
      <c r="AA24" s="26">
        <v>162226.34</v>
      </c>
      <c r="AB24" s="22">
        <f>SUM(D24:AA24)</f>
        <v>4202325.6500000004</v>
      </c>
      <c r="AC24" s="22">
        <f>SUM(D24:AA24)</f>
        <v>4202325.6500000004</v>
      </c>
      <c r="AD24" s="26">
        <v>280836.65999999997</v>
      </c>
      <c r="AE24" s="26">
        <v>222699.82</v>
      </c>
      <c r="AF24" s="26">
        <v>288782.51</v>
      </c>
      <c r="AG24" s="26">
        <v>261540.45</v>
      </c>
      <c r="AH24" s="26">
        <v>286837.58</v>
      </c>
      <c r="AI24" s="26">
        <v>261016.37</v>
      </c>
      <c r="AJ24" s="26">
        <v>316534.3</v>
      </c>
      <c r="AK24" s="26">
        <v>338061.06</v>
      </c>
      <c r="AL24" s="26">
        <v>369696.1</v>
      </c>
      <c r="AM24" s="26">
        <v>320553.88</v>
      </c>
      <c r="AN24" s="26">
        <v>347239.16</v>
      </c>
      <c r="AO24" s="26">
        <v>435443.75</v>
      </c>
      <c r="AP24" s="26">
        <v>272942.31</v>
      </c>
      <c r="AQ24" s="26">
        <v>237956.01</v>
      </c>
      <c r="AR24" s="26">
        <v>288198.32</v>
      </c>
      <c r="AS24" s="26">
        <v>274936.19</v>
      </c>
      <c r="AT24" s="26">
        <v>285114.84999999998</v>
      </c>
      <c r="AU24" s="26">
        <v>298651.36</v>
      </c>
      <c r="AV24" s="26">
        <v>270914.55</v>
      </c>
      <c r="AW24" s="26">
        <v>276003.42</v>
      </c>
      <c r="AX24" s="26">
        <v>355713.68</v>
      </c>
      <c r="AY24" s="26">
        <v>321411.63</v>
      </c>
      <c r="AZ24" s="26">
        <v>397160.98</v>
      </c>
      <c r="BA24" s="26">
        <v>390485.38</v>
      </c>
      <c r="BB24" s="23">
        <f t="shared" si="16"/>
        <v>3729241.64</v>
      </c>
      <c r="BC24" s="23">
        <f t="shared" si="17"/>
        <v>3669488.68</v>
      </c>
      <c r="BD24" s="26">
        <v>248189.86</v>
      </c>
      <c r="BE24" s="26">
        <v>249578.26</v>
      </c>
      <c r="BF24" s="26">
        <v>295271.95</v>
      </c>
      <c r="BG24" s="26">
        <v>298227.57</v>
      </c>
      <c r="BH24" s="26">
        <v>256642.07</v>
      </c>
      <c r="BI24" s="26">
        <v>281892.71999999997</v>
      </c>
      <c r="BJ24" s="26">
        <v>357265.49</v>
      </c>
      <c r="BK24" s="26">
        <v>347916.71</v>
      </c>
      <c r="BL24" s="26">
        <v>343058.95</v>
      </c>
      <c r="BM24" s="26">
        <v>368914.85</v>
      </c>
      <c r="BN24" s="26">
        <v>407755.71</v>
      </c>
      <c r="BO24" s="26">
        <v>413769.35</v>
      </c>
      <c r="BP24" s="26">
        <v>417813.12</v>
      </c>
      <c r="BQ24" s="26">
        <v>333295.51</v>
      </c>
      <c r="BR24" s="26">
        <v>357308.84</v>
      </c>
      <c r="BS24" s="26">
        <v>406075.98</v>
      </c>
      <c r="BT24" s="26">
        <v>347268.73</v>
      </c>
      <c r="BU24" s="26">
        <v>392290.84</v>
      </c>
      <c r="BV24" s="26">
        <v>408429.38</v>
      </c>
      <c r="BW24" s="26">
        <v>419730.97</v>
      </c>
      <c r="BX24" s="26">
        <v>497116.99</v>
      </c>
      <c r="BY24" s="26">
        <v>482485.17</v>
      </c>
      <c r="BZ24" s="26">
        <v>563614.03</v>
      </c>
      <c r="CA24" s="26">
        <v>572280.92000000004</v>
      </c>
      <c r="CB24" s="24">
        <f t="shared" si="18"/>
        <v>3868483.4900000007</v>
      </c>
      <c r="CC24" s="24">
        <f t="shared" si="19"/>
        <v>5197710.4800000004</v>
      </c>
    </row>
    <row r="25" spans="1:81" x14ac:dyDescent="0.25">
      <c r="A25" s="20" t="s">
        <v>34</v>
      </c>
      <c r="B25" s="20"/>
      <c r="C25" s="20" t="s">
        <v>39</v>
      </c>
      <c r="D25" s="21">
        <v>10425.93</v>
      </c>
      <c r="E25" s="21">
        <v>10849.98</v>
      </c>
      <c r="F25" s="21">
        <v>12688.58</v>
      </c>
      <c r="G25" s="21">
        <v>12383.94</v>
      </c>
      <c r="H25" s="21">
        <v>11169.59</v>
      </c>
      <c r="I25" s="21">
        <v>13150.17</v>
      </c>
      <c r="J25" s="21">
        <v>12215.62</v>
      </c>
      <c r="K25" s="21">
        <v>13255.64</v>
      </c>
      <c r="L25" s="21">
        <v>15689.23</v>
      </c>
      <c r="M25" s="21">
        <v>16036.42</v>
      </c>
      <c r="N25" s="21">
        <v>16097.68</v>
      </c>
      <c r="O25" s="21">
        <v>17926.900000000001</v>
      </c>
      <c r="P25" s="21">
        <v>6439.32</v>
      </c>
      <c r="Q25" s="21">
        <v>6003.31</v>
      </c>
      <c r="R25" s="21">
        <v>6053.84</v>
      </c>
      <c r="S25" s="21">
        <v>6579.2</v>
      </c>
      <c r="T25" s="21">
        <v>7050.23</v>
      </c>
      <c r="U25" s="21">
        <v>6535.54</v>
      </c>
      <c r="V25" s="21">
        <v>8284.77</v>
      </c>
      <c r="W25" s="21">
        <v>7770.96</v>
      </c>
      <c r="X25" s="21">
        <v>7514.35</v>
      </c>
      <c r="Y25" s="21">
        <v>9203.33</v>
      </c>
      <c r="Z25" s="21">
        <v>9449.69</v>
      </c>
      <c r="AA25" s="21">
        <v>9748.36</v>
      </c>
      <c r="AB25" s="22">
        <f>SUM(D25:AA25)</f>
        <v>252522.58000000002</v>
      </c>
      <c r="AC25" s="22">
        <f>SUM(D25:AA25)</f>
        <v>252522.58000000002</v>
      </c>
      <c r="AD25" s="21">
        <v>2107.5100000000002</v>
      </c>
      <c r="AE25" s="21">
        <v>1671.23</v>
      </c>
      <c r="AF25" s="21">
        <v>2167.14</v>
      </c>
      <c r="AG25" s="21">
        <v>1962.7</v>
      </c>
      <c r="AH25" s="21">
        <v>2152.54</v>
      </c>
      <c r="AI25" s="21">
        <v>1958.77</v>
      </c>
      <c r="AJ25" s="21">
        <v>2375.4</v>
      </c>
      <c r="AK25" s="21">
        <v>2536.94</v>
      </c>
      <c r="AL25" s="21">
        <v>2774.35</v>
      </c>
      <c r="AM25" s="21">
        <v>2405.56</v>
      </c>
      <c r="AN25" s="21">
        <v>2605.8200000000002</v>
      </c>
      <c r="AO25" s="21">
        <v>3267.74</v>
      </c>
      <c r="AP25" s="21">
        <v>2650.7</v>
      </c>
      <c r="AQ25" s="21">
        <v>2310.9299999999998</v>
      </c>
      <c r="AR25" s="21">
        <v>2798.86</v>
      </c>
      <c r="AS25" s="21">
        <v>2670.06</v>
      </c>
      <c r="AT25" s="21">
        <v>2768.91</v>
      </c>
      <c r="AU25" s="21">
        <v>2900.37</v>
      </c>
      <c r="AV25" s="21">
        <v>2631.01</v>
      </c>
      <c r="AW25" s="21">
        <v>2680.43</v>
      </c>
      <c r="AX25" s="21">
        <v>3454.54</v>
      </c>
      <c r="AY25" s="21">
        <v>3121.41</v>
      </c>
      <c r="AZ25" s="21">
        <v>3857.06</v>
      </c>
      <c r="BA25" s="21">
        <v>3792.22</v>
      </c>
      <c r="BB25" s="23">
        <f t="shared" si="16"/>
        <v>27985.699999999997</v>
      </c>
      <c r="BC25" s="23">
        <f t="shared" si="17"/>
        <v>35636.5</v>
      </c>
      <c r="BD25" s="21">
        <v>6553.72</v>
      </c>
      <c r="BE25" s="21">
        <v>6590.38</v>
      </c>
      <c r="BF25" s="21">
        <v>7796.98</v>
      </c>
      <c r="BG25" s="21">
        <v>7875.02</v>
      </c>
      <c r="BH25" s="21">
        <v>6776.91</v>
      </c>
      <c r="BI25" s="21">
        <v>7443.68</v>
      </c>
      <c r="BJ25" s="21">
        <v>9433.98</v>
      </c>
      <c r="BK25" s="21">
        <v>9187.1200000000008</v>
      </c>
      <c r="BL25" s="21">
        <v>9058.84</v>
      </c>
      <c r="BM25" s="21">
        <v>9741.6</v>
      </c>
      <c r="BN25" s="21">
        <v>10767.23</v>
      </c>
      <c r="BO25" s="21">
        <v>10926.04</v>
      </c>
      <c r="BP25" s="21">
        <v>12503.85</v>
      </c>
      <c r="BQ25" s="21">
        <v>9974.5</v>
      </c>
      <c r="BR25" s="21">
        <v>10693.14</v>
      </c>
      <c r="BS25" s="21">
        <v>12152.59</v>
      </c>
      <c r="BT25" s="21">
        <v>10392.68</v>
      </c>
      <c r="BU25" s="21">
        <v>11740.05</v>
      </c>
      <c r="BV25" s="21">
        <v>12223.02</v>
      </c>
      <c r="BW25" s="21">
        <v>12561.24</v>
      </c>
      <c r="BX25" s="21">
        <v>14877.17</v>
      </c>
      <c r="BY25" s="21">
        <v>14439.28</v>
      </c>
      <c r="BZ25" s="21">
        <v>16867.22</v>
      </c>
      <c r="CA25" s="21">
        <v>17126.599999999999</v>
      </c>
      <c r="CB25" s="24">
        <f t="shared" si="18"/>
        <v>102151.5</v>
      </c>
      <c r="CC25" s="24">
        <f t="shared" si="19"/>
        <v>155551.34</v>
      </c>
    </row>
    <row r="26" spans="1:81" x14ac:dyDescent="0.25">
      <c r="A26" s="25" t="s">
        <v>34</v>
      </c>
      <c r="B26" s="25"/>
      <c r="C26" s="25" t="s">
        <v>40</v>
      </c>
      <c r="D26" s="26">
        <v>55491.32</v>
      </c>
      <c r="E26" s="26">
        <v>57748.31</v>
      </c>
      <c r="F26" s="26">
        <v>67534.13</v>
      </c>
      <c r="G26" s="26">
        <v>65912.710000000006</v>
      </c>
      <c r="H26" s="26">
        <v>59449.39</v>
      </c>
      <c r="I26" s="26">
        <v>69990.89</v>
      </c>
      <c r="J26" s="26">
        <v>65016.82</v>
      </c>
      <c r="K26" s="26">
        <v>70552.25</v>
      </c>
      <c r="L26" s="26">
        <v>83504.87</v>
      </c>
      <c r="M26" s="26">
        <v>85352.79</v>
      </c>
      <c r="N26" s="26">
        <v>85678.82</v>
      </c>
      <c r="O26" s="26">
        <v>95414.59</v>
      </c>
      <c r="P26" s="26">
        <v>34272.82</v>
      </c>
      <c r="Q26" s="26">
        <v>31952.22</v>
      </c>
      <c r="R26" s="26">
        <v>32221.16</v>
      </c>
      <c r="S26" s="26">
        <v>35017.32</v>
      </c>
      <c r="T26" s="26">
        <v>37524.35</v>
      </c>
      <c r="U26" s="26">
        <v>34784.949999999997</v>
      </c>
      <c r="V26" s="26">
        <v>44095.13</v>
      </c>
      <c r="W26" s="26">
        <v>41360.400000000001</v>
      </c>
      <c r="X26" s="26">
        <v>39994.629999999997</v>
      </c>
      <c r="Y26" s="26">
        <v>48984.09</v>
      </c>
      <c r="Z26" s="26">
        <v>50295.360000000001</v>
      </c>
      <c r="AA26" s="26">
        <v>51885.04</v>
      </c>
      <c r="AB26" s="22">
        <f>SUM(D26:AA26)</f>
        <v>1344034.3599999999</v>
      </c>
      <c r="AC26" s="22">
        <f>SUM(D26:AA26)</f>
        <v>1344034.3599999999</v>
      </c>
      <c r="AD26" s="26">
        <v>46485.81</v>
      </c>
      <c r="AE26" s="26">
        <v>36862.639999999999</v>
      </c>
      <c r="AF26" s="26">
        <v>47801.06</v>
      </c>
      <c r="AG26" s="26">
        <v>43291.78</v>
      </c>
      <c r="AH26" s="26">
        <v>47479.12</v>
      </c>
      <c r="AI26" s="26">
        <v>43205.04</v>
      </c>
      <c r="AJ26" s="26">
        <v>52394.7</v>
      </c>
      <c r="AK26" s="26">
        <v>55957.95</v>
      </c>
      <c r="AL26" s="26">
        <v>61194.37</v>
      </c>
      <c r="AM26" s="26">
        <v>53060.05</v>
      </c>
      <c r="AN26" s="26">
        <v>57477.16</v>
      </c>
      <c r="AO26" s="26">
        <v>72077.34</v>
      </c>
      <c r="AP26" s="26">
        <v>45179.09</v>
      </c>
      <c r="AQ26" s="26">
        <v>39387.94</v>
      </c>
      <c r="AR26" s="26">
        <v>47704.36</v>
      </c>
      <c r="AS26" s="26">
        <v>45509.13</v>
      </c>
      <c r="AT26" s="26">
        <v>47193.96</v>
      </c>
      <c r="AU26" s="26">
        <v>49434.61</v>
      </c>
      <c r="AV26" s="26">
        <v>44843.44</v>
      </c>
      <c r="AW26" s="26">
        <v>45685.78</v>
      </c>
      <c r="AX26" s="26">
        <v>58879.92</v>
      </c>
      <c r="AY26" s="26">
        <v>53202.03</v>
      </c>
      <c r="AZ26" s="26">
        <v>65740.53</v>
      </c>
      <c r="BA26" s="26">
        <v>64635.55</v>
      </c>
      <c r="BB26" s="23">
        <f t="shared" si="16"/>
        <v>617287.02</v>
      </c>
      <c r="BC26" s="23">
        <f t="shared" si="17"/>
        <v>607396.34000000008</v>
      </c>
      <c r="BD26" s="26">
        <v>12507.01</v>
      </c>
      <c r="BE26" s="26">
        <v>12576.98</v>
      </c>
      <c r="BF26" s="26">
        <v>14879.61</v>
      </c>
      <c r="BG26" s="26">
        <v>15028.56</v>
      </c>
      <c r="BH26" s="26">
        <v>12932.94</v>
      </c>
      <c r="BI26" s="26">
        <v>14205.4</v>
      </c>
      <c r="BJ26" s="26">
        <v>18003.650000000001</v>
      </c>
      <c r="BK26" s="26">
        <v>17532.54</v>
      </c>
      <c r="BL26" s="26">
        <v>17287.740000000002</v>
      </c>
      <c r="BM26" s="26">
        <v>18590.7</v>
      </c>
      <c r="BN26" s="26">
        <v>20548</v>
      </c>
      <c r="BO26" s="26">
        <v>20851.04</v>
      </c>
      <c r="BP26" s="26">
        <v>36495.019999999997</v>
      </c>
      <c r="BQ26" s="26">
        <v>29112.6</v>
      </c>
      <c r="BR26" s="26">
        <v>31210.11</v>
      </c>
      <c r="BS26" s="26">
        <v>35469.81</v>
      </c>
      <c r="BT26" s="26">
        <v>30333.13</v>
      </c>
      <c r="BU26" s="26">
        <v>34265.71</v>
      </c>
      <c r="BV26" s="26">
        <v>35675.379999999997</v>
      </c>
      <c r="BW26" s="26">
        <v>36662.54</v>
      </c>
      <c r="BX26" s="26">
        <v>43422.04</v>
      </c>
      <c r="BY26" s="26">
        <v>42143.98</v>
      </c>
      <c r="BZ26" s="26">
        <v>49230.400000000001</v>
      </c>
      <c r="CA26" s="26">
        <v>49987.45</v>
      </c>
      <c r="CB26" s="24">
        <f t="shared" si="18"/>
        <v>194944.17</v>
      </c>
      <c r="CC26" s="24">
        <f t="shared" si="19"/>
        <v>454008.17</v>
      </c>
    </row>
    <row r="27" spans="1:81" x14ac:dyDescent="0.25">
      <c r="A27" s="20" t="s">
        <v>34</v>
      </c>
      <c r="B27" s="20"/>
      <c r="C27" s="20" t="s">
        <v>41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2">
        <f>SUM(D27:O27)</f>
        <v>0</v>
      </c>
      <c r="AC27" s="22">
        <f t="shared" ref="AC27:AC29" si="20">SUM(P27:AA27)</f>
        <v>0</v>
      </c>
      <c r="AD27" s="21">
        <v>2105.1999999999998</v>
      </c>
      <c r="AE27" s="21">
        <v>1669.4</v>
      </c>
      <c r="AF27" s="21">
        <v>2164.77</v>
      </c>
      <c r="AG27" s="21">
        <v>1960.55</v>
      </c>
      <c r="AH27" s="21">
        <v>2150.19</v>
      </c>
      <c r="AI27" s="21">
        <v>1956.63</v>
      </c>
      <c r="AJ27" s="21">
        <v>2372.8000000000002</v>
      </c>
      <c r="AK27" s="21">
        <v>2534.17</v>
      </c>
      <c r="AL27" s="21">
        <v>2771.31</v>
      </c>
      <c r="AM27" s="21">
        <v>2402.9299999999998</v>
      </c>
      <c r="AN27" s="21">
        <v>2602.9699999999998</v>
      </c>
      <c r="AO27" s="21">
        <v>3264.14</v>
      </c>
      <c r="AP27" s="21">
        <v>2647.8</v>
      </c>
      <c r="AQ27" s="21">
        <v>2308.4</v>
      </c>
      <c r="AR27" s="21">
        <v>2795.79</v>
      </c>
      <c r="AS27" s="21">
        <v>2667.14</v>
      </c>
      <c r="AT27" s="21">
        <v>2765.88</v>
      </c>
      <c r="AU27" s="21">
        <v>2897.2</v>
      </c>
      <c r="AV27" s="21">
        <v>2628.12</v>
      </c>
      <c r="AW27" s="21">
        <v>2677.49</v>
      </c>
      <c r="AX27" s="21">
        <v>3450.76</v>
      </c>
      <c r="AY27" s="21">
        <v>3117.99</v>
      </c>
      <c r="AZ27" s="21">
        <v>3852.83</v>
      </c>
      <c r="BA27" s="21">
        <v>3788.08</v>
      </c>
      <c r="BB27" s="23">
        <f t="shared" si="16"/>
        <v>27955.06</v>
      </c>
      <c r="BC27" s="23">
        <f t="shared" si="17"/>
        <v>35597.480000000003</v>
      </c>
      <c r="BD27" s="21">
        <v>2193.35</v>
      </c>
      <c r="BE27" s="21">
        <v>2205.62</v>
      </c>
      <c r="BF27" s="21">
        <v>2609.4299999999998</v>
      </c>
      <c r="BG27" s="21">
        <v>2635.55</v>
      </c>
      <c r="BH27" s="21">
        <v>2268.04</v>
      </c>
      <c r="BI27" s="21">
        <v>2491.19</v>
      </c>
      <c r="BJ27" s="21">
        <v>3157.29</v>
      </c>
      <c r="BK27" s="21">
        <v>3074.67</v>
      </c>
      <c r="BL27" s="21">
        <v>3031.74</v>
      </c>
      <c r="BM27" s="21">
        <v>3260.24</v>
      </c>
      <c r="BN27" s="21">
        <v>3603.49</v>
      </c>
      <c r="BO27" s="21">
        <v>3656.67</v>
      </c>
      <c r="BP27" s="21">
        <v>6892.43</v>
      </c>
      <c r="BQ27" s="21">
        <v>5498.19</v>
      </c>
      <c r="BR27" s="21">
        <v>5894.33</v>
      </c>
      <c r="BS27" s="21">
        <v>6698.81</v>
      </c>
      <c r="BT27" s="21">
        <v>5728.7</v>
      </c>
      <c r="BU27" s="21">
        <v>6471.41</v>
      </c>
      <c r="BV27" s="21">
        <v>6737.64</v>
      </c>
      <c r="BW27" s="21">
        <v>6924.07</v>
      </c>
      <c r="BX27" s="21">
        <v>8200.67</v>
      </c>
      <c r="BY27" s="21">
        <v>7959.29</v>
      </c>
      <c r="BZ27" s="21">
        <v>9297.6299999999992</v>
      </c>
      <c r="CA27" s="21">
        <v>9440.61</v>
      </c>
      <c r="CB27" s="24">
        <f t="shared" si="18"/>
        <v>34187.279999999992</v>
      </c>
      <c r="CC27" s="24">
        <f t="shared" si="19"/>
        <v>85743.78</v>
      </c>
    </row>
    <row r="28" spans="1:81" x14ac:dyDescent="0.25">
      <c r="A28" s="25" t="s">
        <v>34</v>
      </c>
      <c r="B28" s="25"/>
      <c r="C28" s="25" t="s">
        <v>42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2">
        <f>SUM(D28:O28)</f>
        <v>0</v>
      </c>
      <c r="AC28" s="22">
        <f t="shared" si="20"/>
        <v>0</v>
      </c>
      <c r="AD28" s="26">
        <v>6520.14</v>
      </c>
      <c r="AE28" s="26">
        <v>5170.38</v>
      </c>
      <c r="AF28" s="26">
        <v>6704.61</v>
      </c>
      <c r="AG28" s="26">
        <v>6072.14</v>
      </c>
      <c r="AH28" s="26">
        <v>6659.46</v>
      </c>
      <c r="AI28" s="26">
        <v>6059.97</v>
      </c>
      <c r="AJ28" s="26">
        <v>7348.92</v>
      </c>
      <c r="AK28" s="26">
        <v>7848.7</v>
      </c>
      <c r="AL28" s="26">
        <v>8583.17</v>
      </c>
      <c r="AM28" s="26">
        <v>7442.24</v>
      </c>
      <c r="AN28" s="26">
        <v>8061.79</v>
      </c>
      <c r="AO28" s="26">
        <v>10109.629999999999</v>
      </c>
      <c r="AP28" s="26">
        <v>8573.39</v>
      </c>
      <c r="AQ28" s="26">
        <v>7474.44</v>
      </c>
      <c r="AR28" s="26">
        <v>9052.6</v>
      </c>
      <c r="AS28" s="26">
        <v>8636.02</v>
      </c>
      <c r="AT28" s="26">
        <v>8955.74</v>
      </c>
      <c r="AU28" s="26">
        <v>9380.94</v>
      </c>
      <c r="AV28" s="26">
        <v>8509.7000000000007</v>
      </c>
      <c r="AW28" s="26">
        <v>8669.5400000000009</v>
      </c>
      <c r="AX28" s="26">
        <v>11173.32</v>
      </c>
      <c r="AY28" s="26">
        <v>10095.86</v>
      </c>
      <c r="AZ28" s="26">
        <v>12475.22</v>
      </c>
      <c r="BA28" s="26">
        <v>12265.54</v>
      </c>
      <c r="BB28" s="23">
        <f t="shared" si="16"/>
        <v>86581.15</v>
      </c>
      <c r="BC28" s="23">
        <f t="shared" si="17"/>
        <v>115262.31</v>
      </c>
      <c r="BD28" s="26">
        <v>6868.53</v>
      </c>
      <c r="BE28" s="26">
        <v>6906.95</v>
      </c>
      <c r="BF28" s="26">
        <v>8171.5</v>
      </c>
      <c r="BG28" s="26">
        <v>8253.2999999999993</v>
      </c>
      <c r="BH28" s="26">
        <v>7102.44</v>
      </c>
      <c r="BI28" s="26">
        <v>7801.24</v>
      </c>
      <c r="BJ28" s="26">
        <v>9887.14</v>
      </c>
      <c r="BK28" s="26">
        <v>9628.42</v>
      </c>
      <c r="BL28" s="26">
        <v>9493.99</v>
      </c>
      <c r="BM28" s="26">
        <v>10209.530000000001</v>
      </c>
      <c r="BN28" s="26">
        <v>11284.44</v>
      </c>
      <c r="BO28" s="26">
        <v>11450.87</v>
      </c>
      <c r="BP28" s="26">
        <v>14646.17</v>
      </c>
      <c r="BQ28" s="26">
        <v>11683.46</v>
      </c>
      <c r="BR28" s="26">
        <v>12525.24</v>
      </c>
      <c r="BS28" s="26">
        <v>14234.74</v>
      </c>
      <c r="BT28" s="26">
        <v>12173.29</v>
      </c>
      <c r="BU28" s="26">
        <v>13751.51</v>
      </c>
      <c r="BV28" s="26">
        <v>14317.23</v>
      </c>
      <c r="BW28" s="26">
        <v>14713.4</v>
      </c>
      <c r="BX28" s="26">
        <v>17426.12</v>
      </c>
      <c r="BY28" s="26">
        <v>16913.21</v>
      </c>
      <c r="BZ28" s="26">
        <v>19757.13</v>
      </c>
      <c r="CA28" s="26">
        <v>20060.95</v>
      </c>
      <c r="CB28" s="24">
        <f t="shared" si="18"/>
        <v>107058.34999999999</v>
      </c>
      <c r="CC28" s="24">
        <f t="shared" si="19"/>
        <v>182202.44999999998</v>
      </c>
    </row>
    <row r="29" spans="1:81" x14ac:dyDescent="0.25">
      <c r="A29" s="27" t="s">
        <v>34</v>
      </c>
      <c r="B29" s="27"/>
      <c r="C29" s="27" t="s">
        <v>24</v>
      </c>
      <c r="D29" s="28">
        <f t="shared" ref="D29:AA29" si="21">SUM(D21:D28)</f>
        <v>587187.86</v>
      </c>
      <c r="E29" s="28">
        <f t="shared" si="21"/>
        <v>611070.49</v>
      </c>
      <c r="F29" s="28">
        <f t="shared" si="21"/>
        <v>714620.28</v>
      </c>
      <c r="G29" s="28">
        <f t="shared" si="21"/>
        <v>697462.99999999988</v>
      </c>
      <c r="H29" s="28">
        <f t="shared" si="21"/>
        <v>629070.66999999993</v>
      </c>
      <c r="I29" s="28">
        <f t="shared" si="21"/>
        <v>740616.77</v>
      </c>
      <c r="J29" s="28">
        <f t="shared" si="21"/>
        <v>687983.03999999992</v>
      </c>
      <c r="K29" s="28">
        <f t="shared" si="21"/>
        <v>746556.86</v>
      </c>
      <c r="L29" s="28">
        <f t="shared" si="21"/>
        <v>883616.52</v>
      </c>
      <c r="M29" s="28">
        <f t="shared" si="21"/>
        <v>903170.46000000008</v>
      </c>
      <c r="N29" s="28">
        <f t="shared" si="21"/>
        <v>906620.42999999993</v>
      </c>
      <c r="O29" s="28">
        <f t="shared" si="21"/>
        <v>1009640.5900000001</v>
      </c>
      <c r="P29" s="28">
        <f t="shared" si="21"/>
        <v>328341.18</v>
      </c>
      <c r="Q29" s="28">
        <f t="shared" si="21"/>
        <v>306109.25</v>
      </c>
      <c r="R29" s="28">
        <f t="shared" si="21"/>
        <v>308685.83</v>
      </c>
      <c r="S29" s="28">
        <f t="shared" si="21"/>
        <v>335473.65000000002</v>
      </c>
      <c r="T29" s="28">
        <f t="shared" si="21"/>
        <v>359491.54999999993</v>
      </c>
      <c r="U29" s="28">
        <f t="shared" si="21"/>
        <v>333247.44</v>
      </c>
      <c r="V29" s="28">
        <f t="shared" si="21"/>
        <v>422441.06000000006</v>
      </c>
      <c r="W29" s="28">
        <f t="shared" si="21"/>
        <v>396241.74000000005</v>
      </c>
      <c r="X29" s="28">
        <f t="shared" si="21"/>
        <v>383157.37</v>
      </c>
      <c r="Y29" s="28">
        <f t="shared" si="21"/>
        <v>469278.32000000007</v>
      </c>
      <c r="Z29" s="28">
        <f t="shared" si="21"/>
        <v>481840.57</v>
      </c>
      <c r="AA29" s="28">
        <f t="shared" si="21"/>
        <v>497069.97999999992</v>
      </c>
      <c r="AB29" s="28">
        <f>SUM(D29:O29)</f>
        <v>9117616.9700000007</v>
      </c>
      <c r="AC29" s="28">
        <f t="shared" si="20"/>
        <v>4621377.9400000004</v>
      </c>
      <c r="AD29" s="28">
        <f t="shared" ref="AD29:BA29" si="22">SUM(AD21:AD28)</f>
        <v>894889.59</v>
      </c>
      <c r="AE29" s="28">
        <f t="shared" si="22"/>
        <v>709635.8</v>
      </c>
      <c r="AF29" s="28">
        <f t="shared" si="22"/>
        <v>920209.14</v>
      </c>
      <c r="AG29" s="28">
        <f t="shared" si="22"/>
        <v>833401.95000000007</v>
      </c>
      <c r="AH29" s="28">
        <f t="shared" si="22"/>
        <v>914011.6</v>
      </c>
      <c r="AI29" s="28">
        <f t="shared" si="22"/>
        <v>831731.99</v>
      </c>
      <c r="AJ29" s="28">
        <f t="shared" si="22"/>
        <v>1008640.5700000001</v>
      </c>
      <c r="AK29" s="28">
        <f t="shared" si="22"/>
        <v>1077235.8499999999</v>
      </c>
      <c r="AL29" s="28">
        <f t="shared" si="22"/>
        <v>1178041.33</v>
      </c>
      <c r="AM29" s="28">
        <f t="shared" si="22"/>
        <v>1021449.0100000001</v>
      </c>
      <c r="AN29" s="28">
        <f t="shared" si="22"/>
        <v>1106481.99</v>
      </c>
      <c r="AO29" s="28">
        <f t="shared" si="22"/>
        <v>1387547.0899999999</v>
      </c>
      <c r="AP29" s="28">
        <f t="shared" si="22"/>
        <v>1029974.98</v>
      </c>
      <c r="AQ29" s="28">
        <f t="shared" si="22"/>
        <v>897950.71000000008</v>
      </c>
      <c r="AR29" s="28">
        <f t="shared" si="22"/>
        <v>1087545.06</v>
      </c>
      <c r="AS29" s="28">
        <f t="shared" si="22"/>
        <v>1037499.0900000001</v>
      </c>
      <c r="AT29" s="28">
        <f t="shared" si="22"/>
        <v>1075909.2499999998</v>
      </c>
      <c r="AU29" s="28">
        <f t="shared" si="22"/>
        <v>1126990.6300000001</v>
      </c>
      <c r="AV29" s="28">
        <f t="shared" si="22"/>
        <v>1022323.0199999999</v>
      </c>
      <c r="AW29" s="28">
        <f t="shared" si="22"/>
        <v>1041526.37</v>
      </c>
      <c r="AX29" s="28">
        <f t="shared" si="22"/>
        <v>1342320.99</v>
      </c>
      <c r="AY29" s="28">
        <f t="shared" si="22"/>
        <v>1212878.78</v>
      </c>
      <c r="AZ29" s="28">
        <f t="shared" si="22"/>
        <v>1498726.5</v>
      </c>
      <c r="BA29" s="28">
        <f t="shared" si="22"/>
        <v>1473535.4200000002</v>
      </c>
      <c r="BB29" s="28">
        <f t="shared" si="16"/>
        <v>11883275.91</v>
      </c>
      <c r="BC29" s="28">
        <f t="shared" si="17"/>
        <v>13847180.799999999</v>
      </c>
      <c r="BD29" s="28">
        <f t="shared" ref="BD29:CA29" si="23">SUM(BD21:BD28)</f>
        <v>724983.78999999992</v>
      </c>
      <c r="BE29" s="28">
        <f t="shared" si="23"/>
        <v>729039.40999999992</v>
      </c>
      <c r="BF29" s="28">
        <f t="shared" si="23"/>
        <v>862514.58000000007</v>
      </c>
      <c r="BG29" s="28">
        <f t="shared" si="23"/>
        <v>871148.2100000002</v>
      </c>
      <c r="BH29" s="28">
        <f t="shared" si="23"/>
        <v>749673.41</v>
      </c>
      <c r="BI29" s="28">
        <f t="shared" si="23"/>
        <v>823432.73</v>
      </c>
      <c r="BJ29" s="28">
        <f t="shared" si="23"/>
        <v>1043603.02</v>
      </c>
      <c r="BK29" s="28">
        <f t="shared" si="23"/>
        <v>1016294.4600000001</v>
      </c>
      <c r="BL29" s="28">
        <f t="shared" si="23"/>
        <v>1002104.5099999999</v>
      </c>
      <c r="BM29" s="28">
        <f t="shared" si="23"/>
        <v>1077631.83</v>
      </c>
      <c r="BN29" s="28">
        <f t="shared" si="23"/>
        <v>1191089.2799999998</v>
      </c>
      <c r="BO29" s="28">
        <f t="shared" si="23"/>
        <v>1208655.71</v>
      </c>
      <c r="BP29" s="28">
        <f t="shared" si="23"/>
        <v>1695328.7299999997</v>
      </c>
      <c r="BQ29" s="28">
        <f t="shared" si="23"/>
        <v>1352388.04</v>
      </c>
      <c r="BR29" s="28">
        <f t="shared" si="23"/>
        <v>1449825.1</v>
      </c>
      <c r="BS29" s="28">
        <f t="shared" si="23"/>
        <v>1647703.85</v>
      </c>
      <c r="BT29" s="28">
        <f t="shared" si="23"/>
        <v>1409086.1099999999</v>
      </c>
      <c r="BU29" s="28">
        <f t="shared" si="23"/>
        <v>1591768.93</v>
      </c>
      <c r="BV29" s="28">
        <f t="shared" si="23"/>
        <v>1657253.0599999998</v>
      </c>
      <c r="BW29" s="28">
        <f t="shared" si="23"/>
        <v>1703110.6400000001</v>
      </c>
      <c r="BX29" s="28">
        <f t="shared" si="23"/>
        <v>2017114.09</v>
      </c>
      <c r="BY29" s="28">
        <f t="shared" si="23"/>
        <v>1957743.64</v>
      </c>
      <c r="BZ29" s="28">
        <f t="shared" si="23"/>
        <v>2286934.0999999996</v>
      </c>
      <c r="CA29" s="28">
        <f t="shared" si="23"/>
        <v>2322101.1500000004</v>
      </c>
      <c r="CB29" s="28">
        <f t="shared" si="18"/>
        <v>11300170.939999998</v>
      </c>
      <c r="CC29" s="28">
        <f t="shared" si="19"/>
        <v>21090357.439999998</v>
      </c>
    </row>
    <row r="31" spans="1:81" x14ac:dyDescent="0.25">
      <c r="A31" s="20" t="s">
        <v>43</v>
      </c>
      <c r="B31" s="20"/>
      <c r="C31" s="20" t="s">
        <v>44</v>
      </c>
      <c r="D31" s="21">
        <v>1184728.96</v>
      </c>
      <c r="E31" s="21">
        <v>1217744.03</v>
      </c>
      <c r="F31" s="21">
        <v>1357055.84</v>
      </c>
      <c r="G31" s="21">
        <v>1217837.1499999999</v>
      </c>
      <c r="H31" s="21">
        <v>1239831.8899999999</v>
      </c>
      <c r="I31" s="21">
        <v>1403444.55</v>
      </c>
      <c r="J31" s="21">
        <v>1576819.13</v>
      </c>
      <c r="K31" s="21">
        <v>1382181.42</v>
      </c>
      <c r="L31" s="21">
        <v>1466515.57</v>
      </c>
      <c r="M31" s="21">
        <v>1723712.71</v>
      </c>
      <c r="N31" s="21">
        <v>1997567.99</v>
      </c>
      <c r="O31" s="21">
        <v>2067261.23</v>
      </c>
      <c r="P31" s="21">
        <v>1031257.79</v>
      </c>
      <c r="Q31" s="21">
        <v>888380.31</v>
      </c>
      <c r="R31" s="21">
        <v>1033615.88</v>
      </c>
      <c r="S31" s="21">
        <v>973913.93</v>
      </c>
      <c r="T31" s="21">
        <v>1024532.02</v>
      </c>
      <c r="U31" s="21">
        <v>1040716.14</v>
      </c>
      <c r="V31" s="21">
        <v>1151106.02</v>
      </c>
      <c r="W31" s="21">
        <v>1018004.37</v>
      </c>
      <c r="X31" s="21">
        <v>1192000.1100000001</v>
      </c>
      <c r="Y31" s="21">
        <v>1136395.3600000001</v>
      </c>
      <c r="Z31" s="21">
        <v>1332636.82</v>
      </c>
      <c r="AA31" s="21">
        <v>1490297.69</v>
      </c>
      <c r="AB31" s="22">
        <f>SUM(D31:AA31)</f>
        <v>31147556.909999996</v>
      </c>
      <c r="AC31" s="22">
        <f>SUM(D31:AA31)</f>
        <v>31147556.909999996</v>
      </c>
      <c r="AD31" s="21">
        <v>2279937.29</v>
      </c>
      <c r="AE31" s="21">
        <v>1862476.01</v>
      </c>
      <c r="AF31" s="21">
        <v>2192179.48</v>
      </c>
      <c r="AG31" s="21">
        <v>2102099.5499999998</v>
      </c>
      <c r="AH31" s="21">
        <v>2420761.25</v>
      </c>
      <c r="AI31" s="21">
        <v>2800645.5</v>
      </c>
      <c r="AJ31" s="21">
        <v>2537965.65</v>
      </c>
      <c r="AK31" s="21">
        <v>2489926.4900000002</v>
      </c>
      <c r="AL31" s="21">
        <v>3203245.35</v>
      </c>
      <c r="AM31" s="21">
        <v>2755375.94</v>
      </c>
      <c r="AN31" s="21">
        <v>3368114.9</v>
      </c>
      <c r="AO31" s="21">
        <v>3954559.7</v>
      </c>
      <c r="AP31" s="21">
        <v>3140460.29</v>
      </c>
      <c r="AQ31" s="21">
        <v>2773631.2</v>
      </c>
      <c r="AR31" s="21">
        <v>2974123.52</v>
      </c>
      <c r="AS31" s="21">
        <v>2839528.21</v>
      </c>
      <c r="AT31" s="21">
        <v>3299310.77</v>
      </c>
      <c r="AU31" s="21">
        <v>3403275.53</v>
      </c>
      <c r="AV31" s="21">
        <v>3144855.54</v>
      </c>
      <c r="AW31" s="21">
        <v>3607882.53</v>
      </c>
      <c r="AX31" s="21">
        <v>4012490.82</v>
      </c>
      <c r="AY31" s="21">
        <v>3936685.34</v>
      </c>
      <c r="AZ31" s="21">
        <v>4359019.45</v>
      </c>
      <c r="BA31" s="21">
        <v>5065611.22</v>
      </c>
      <c r="BB31" s="23">
        <f t="shared" ref="BB31:BB37" si="24">SUM(AD31:AO31)</f>
        <v>31967287.109999999</v>
      </c>
      <c r="BC31" s="23">
        <f t="shared" ref="BC31:BC37" si="25">SUM(AP31:BA31)</f>
        <v>42556874.420000002</v>
      </c>
      <c r="BD31" s="21">
        <v>347761.16</v>
      </c>
      <c r="BE31" s="21">
        <v>354179.78</v>
      </c>
      <c r="BF31" s="21">
        <v>368477.97</v>
      </c>
      <c r="BG31" s="21">
        <v>355366.55</v>
      </c>
      <c r="BH31" s="21">
        <v>334418.65000000002</v>
      </c>
      <c r="BI31" s="21">
        <v>424861.39</v>
      </c>
      <c r="BJ31" s="21">
        <v>431491.81</v>
      </c>
      <c r="BK31" s="21">
        <v>461228.74</v>
      </c>
      <c r="BL31" s="21">
        <v>430982.26</v>
      </c>
      <c r="BM31" s="21">
        <v>502828.69</v>
      </c>
      <c r="BN31" s="21">
        <v>500047.77</v>
      </c>
      <c r="BO31" s="21">
        <v>602158.9</v>
      </c>
      <c r="BP31" s="21">
        <v>722003.26</v>
      </c>
      <c r="BQ31" s="21">
        <v>660607.17000000004</v>
      </c>
      <c r="BR31" s="21">
        <v>678691.05</v>
      </c>
      <c r="BS31" s="21">
        <v>686646.15</v>
      </c>
      <c r="BT31" s="21">
        <v>649445</v>
      </c>
      <c r="BU31" s="21">
        <v>748529.84</v>
      </c>
      <c r="BV31" s="21">
        <v>836432.63</v>
      </c>
      <c r="BW31" s="21">
        <v>825147.44</v>
      </c>
      <c r="BX31" s="21">
        <v>928407.32</v>
      </c>
      <c r="BY31" s="21">
        <v>1037730.08</v>
      </c>
      <c r="BZ31" s="21">
        <v>1095843.98</v>
      </c>
      <c r="CA31" s="21">
        <v>1207876.92</v>
      </c>
      <c r="CB31" s="24">
        <f t="shared" ref="CB31:CB37" si="26">SUM(BD31:BO31)</f>
        <v>5113803.67</v>
      </c>
      <c r="CC31" s="24">
        <f t="shared" ref="CC31:CC37" si="27">SUM(BP31:CA31)</f>
        <v>10077360.840000002</v>
      </c>
    </row>
    <row r="32" spans="1:81" x14ac:dyDescent="0.25">
      <c r="A32" s="25" t="s">
        <v>43</v>
      </c>
      <c r="B32" s="25"/>
      <c r="C32" s="25" t="s">
        <v>45</v>
      </c>
      <c r="D32" s="26">
        <v>17998.3</v>
      </c>
      <c r="E32" s="26">
        <v>18499.86</v>
      </c>
      <c r="F32" s="26">
        <v>20616.27</v>
      </c>
      <c r="G32" s="26">
        <v>18501.27</v>
      </c>
      <c r="H32" s="26">
        <v>18835.419999999998</v>
      </c>
      <c r="I32" s="26">
        <v>21321.01</v>
      </c>
      <c r="J32" s="26">
        <v>23954.9</v>
      </c>
      <c r="K32" s="26">
        <v>20997.98</v>
      </c>
      <c r="L32" s="26">
        <v>22279.17</v>
      </c>
      <c r="M32" s="26">
        <v>26186.49</v>
      </c>
      <c r="N32" s="26">
        <v>30346.880000000001</v>
      </c>
      <c r="O32" s="26">
        <v>31405.64</v>
      </c>
      <c r="P32" s="26">
        <v>14361.21</v>
      </c>
      <c r="Q32" s="26">
        <v>12371.51</v>
      </c>
      <c r="R32" s="26">
        <v>14394.05</v>
      </c>
      <c r="S32" s="26">
        <v>13562.65</v>
      </c>
      <c r="T32" s="26">
        <v>14267.55</v>
      </c>
      <c r="U32" s="26">
        <v>14492.93</v>
      </c>
      <c r="V32" s="26">
        <v>16030.21</v>
      </c>
      <c r="W32" s="26">
        <v>14176.65</v>
      </c>
      <c r="X32" s="26">
        <v>16599.7</v>
      </c>
      <c r="Y32" s="26">
        <v>15825.35</v>
      </c>
      <c r="Z32" s="26">
        <v>18558.189999999999</v>
      </c>
      <c r="AA32" s="26">
        <v>20753.759999999998</v>
      </c>
      <c r="AB32" s="22">
        <f>SUM(D32:AA32)</f>
        <v>456336.95000000007</v>
      </c>
      <c r="AC32" s="22">
        <f>SUM(D32:AA32)</f>
        <v>456336.95000000007</v>
      </c>
      <c r="AD32" s="26">
        <v>6394.69</v>
      </c>
      <c r="AE32" s="26">
        <v>5223.8100000000004</v>
      </c>
      <c r="AF32" s="26">
        <v>6148.55</v>
      </c>
      <c r="AG32" s="26">
        <v>5895.89</v>
      </c>
      <c r="AH32" s="26">
        <v>6789.67</v>
      </c>
      <c r="AI32" s="26">
        <v>7855.15</v>
      </c>
      <c r="AJ32" s="26">
        <v>7118.4</v>
      </c>
      <c r="AK32" s="26">
        <v>6983.66</v>
      </c>
      <c r="AL32" s="26">
        <v>8984.35</v>
      </c>
      <c r="AM32" s="26">
        <v>7728.18</v>
      </c>
      <c r="AN32" s="26">
        <v>9446.77</v>
      </c>
      <c r="AO32" s="26">
        <v>11091.6</v>
      </c>
      <c r="AP32" s="26">
        <v>6510.45</v>
      </c>
      <c r="AQ32" s="26">
        <v>5749.98</v>
      </c>
      <c r="AR32" s="26">
        <v>6165.62</v>
      </c>
      <c r="AS32" s="26">
        <v>5886.59</v>
      </c>
      <c r="AT32" s="26">
        <v>6839.76</v>
      </c>
      <c r="AU32" s="26">
        <v>7055.29</v>
      </c>
      <c r="AV32" s="26">
        <v>6519.56</v>
      </c>
      <c r="AW32" s="26">
        <v>7479.45</v>
      </c>
      <c r="AX32" s="26">
        <v>8318.24</v>
      </c>
      <c r="AY32" s="26">
        <v>8161.09</v>
      </c>
      <c r="AZ32" s="26">
        <v>9036.6299999999992</v>
      </c>
      <c r="BA32" s="26">
        <v>10501.44</v>
      </c>
      <c r="BB32" s="23">
        <f t="shared" si="24"/>
        <v>89660.720000000016</v>
      </c>
      <c r="BC32" s="23">
        <f t="shared" si="25"/>
        <v>88224.1</v>
      </c>
      <c r="BD32" s="26">
        <v>14201.56</v>
      </c>
      <c r="BE32" s="26">
        <v>14463.68</v>
      </c>
      <c r="BF32" s="26">
        <v>15047.57</v>
      </c>
      <c r="BG32" s="26">
        <v>14512.14</v>
      </c>
      <c r="BH32" s="26">
        <v>13656.69</v>
      </c>
      <c r="BI32" s="26">
        <v>17350.11</v>
      </c>
      <c r="BJ32" s="26">
        <v>17620.88</v>
      </c>
      <c r="BK32" s="26">
        <v>18835.25</v>
      </c>
      <c r="BL32" s="26">
        <v>17600.07</v>
      </c>
      <c r="BM32" s="26">
        <v>20534.07</v>
      </c>
      <c r="BN32" s="26">
        <v>20420.5</v>
      </c>
      <c r="BO32" s="26">
        <v>24590.42</v>
      </c>
      <c r="BP32" s="26">
        <v>25463.91</v>
      </c>
      <c r="BQ32" s="26">
        <v>23298.560000000001</v>
      </c>
      <c r="BR32" s="26">
        <v>23936.35</v>
      </c>
      <c r="BS32" s="26">
        <v>24216.92</v>
      </c>
      <c r="BT32" s="26">
        <v>22904.89</v>
      </c>
      <c r="BU32" s="26">
        <v>26399.46</v>
      </c>
      <c r="BV32" s="26">
        <v>29499.65</v>
      </c>
      <c r="BW32" s="26">
        <v>29101.64</v>
      </c>
      <c r="BX32" s="26">
        <v>32743.45</v>
      </c>
      <c r="BY32" s="26">
        <v>36599.089999999997</v>
      </c>
      <c r="BZ32" s="26">
        <v>38648.67</v>
      </c>
      <c r="CA32" s="26">
        <v>42599.89</v>
      </c>
      <c r="CB32" s="24">
        <f t="shared" si="26"/>
        <v>208832.94</v>
      </c>
      <c r="CC32" s="24">
        <f t="shared" si="27"/>
        <v>355412.48000000004</v>
      </c>
    </row>
    <row r="33" spans="1:81" x14ac:dyDescent="0.25">
      <c r="A33" s="20" t="s">
        <v>43</v>
      </c>
      <c r="B33" s="20"/>
      <c r="C33" s="20" t="s">
        <v>46</v>
      </c>
      <c r="D33" s="21">
        <v>65120.78</v>
      </c>
      <c r="E33" s="21">
        <v>66935.509999999995</v>
      </c>
      <c r="F33" s="21">
        <v>74593.039999999994</v>
      </c>
      <c r="G33" s="21">
        <v>66940.63</v>
      </c>
      <c r="H33" s="21">
        <v>68149.61</v>
      </c>
      <c r="I33" s="21">
        <v>77142.880000000005</v>
      </c>
      <c r="J33" s="21">
        <v>86672.72</v>
      </c>
      <c r="K33" s="21">
        <v>75974.11</v>
      </c>
      <c r="L33" s="21">
        <v>80609.69</v>
      </c>
      <c r="M33" s="21">
        <v>94747</v>
      </c>
      <c r="N33" s="21">
        <v>109799.95</v>
      </c>
      <c r="O33" s="21">
        <v>113630.74</v>
      </c>
      <c r="P33" s="21">
        <v>42513.72</v>
      </c>
      <c r="Q33" s="21">
        <v>36623.58</v>
      </c>
      <c r="R33" s="21">
        <v>42610.93</v>
      </c>
      <c r="S33" s="21">
        <v>40149.71</v>
      </c>
      <c r="T33" s="21">
        <v>42236.45</v>
      </c>
      <c r="U33" s="21">
        <v>42903.64</v>
      </c>
      <c r="V33" s="21">
        <v>47454.47</v>
      </c>
      <c r="W33" s="21">
        <v>41967.34</v>
      </c>
      <c r="X33" s="21">
        <v>49140.34</v>
      </c>
      <c r="Y33" s="21">
        <v>46848.02</v>
      </c>
      <c r="Z33" s="21">
        <v>54938.1</v>
      </c>
      <c r="AA33" s="21">
        <v>61437.68</v>
      </c>
      <c r="AB33" s="22">
        <f>SUM(D33:AA33)</f>
        <v>1529140.64</v>
      </c>
      <c r="AC33" s="22">
        <f>SUM(D33:AA33)</f>
        <v>1529140.64</v>
      </c>
      <c r="AD33" s="21">
        <v>43189.52</v>
      </c>
      <c r="AE33" s="21">
        <v>35281.43</v>
      </c>
      <c r="AF33" s="21">
        <v>41527.1</v>
      </c>
      <c r="AG33" s="21">
        <v>39820.69</v>
      </c>
      <c r="AH33" s="21">
        <v>45857.19</v>
      </c>
      <c r="AI33" s="21">
        <v>53053.45</v>
      </c>
      <c r="AJ33" s="21">
        <v>48077.43</v>
      </c>
      <c r="AK33" s="21">
        <v>47167.41</v>
      </c>
      <c r="AL33" s="21">
        <v>60680.02</v>
      </c>
      <c r="AM33" s="21">
        <v>52195.9</v>
      </c>
      <c r="AN33" s="21">
        <v>63803.19</v>
      </c>
      <c r="AO33" s="21">
        <v>74912.42</v>
      </c>
      <c r="AP33" s="21">
        <v>46557.91</v>
      </c>
      <c r="AQ33" s="21">
        <v>41119.599999999999</v>
      </c>
      <c r="AR33" s="21">
        <v>44091.94</v>
      </c>
      <c r="AS33" s="21">
        <v>42096.54</v>
      </c>
      <c r="AT33" s="21">
        <v>48912.9</v>
      </c>
      <c r="AU33" s="21">
        <v>50454.2</v>
      </c>
      <c r="AV33" s="21">
        <v>46623.07</v>
      </c>
      <c r="AW33" s="21">
        <v>53487.53</v>
      </c>
      <c r="AX33" s="21">
        <v>59485.93</v>
      </c>
      <c r="AY33" s="21">
        <v>58362.1</v>
      </c>
      <c r="AZ33" s="21">
        <v>64623.28</v>
      </c>
      <c r="BA33" s="21">
        <v>75098.64</v>
      </c>
      <c r="BB33" s="23">
        <f t="shared" si="24"/>
        <v>605565.75000000012</v>
      </c>
      <c r="BC33" s="23">
        <f t="shared" si="25"/>
        <v>630913.64</v>
      </c>
      <c r="BD33" s="21">
        <v>79138.34</v>
      </c>
      <c r="BE33" s="21">
        <v>80598.990000000005</v>
      </c>
      <c r="BF33" s="21">
        <v>83852.759999999995</v>
      </c>
      <c r="BG33" s="21">
        <v>80869.06</v>
      </c>
      <c r="BH33" s="21">
        <v>76102.05</v>
      </c>
      <c r="BI33" s="21">
        <v>96683.66</v>
      </c>
      <c r="BJ33" s="21">
        <v>98192.52</v>
      </c>
      <c r="BK33" s="21">
        <v>104959.61</v>
      </c>
      <c r="BL33" s="21">
        <v>98076.56</v>
      </c>
      <c r="BM33" s="21">
        <v>114426.31</v>
      </c>
      <c r="BN33" s="21">
        <v>113793.47</v>
      </c>
      <c r="BO33" s="21">
        <v>137030.39999999999</v>
      </c>
      <c r="BP33" s="21">
        <v>209112.67</v>
      </c>
      <c r="BQ33" s="21">
        <v>191330.62</v>
      </c>
      <c r="BR33" s="21">
        <v>196568.23</v>
      </c>
      <c r="BS33" s="21">
        <v>198872.25</v>
      </c>
      <c r="BT33" s="21">
        <v>188097.74</v>
      </c>
      <c r="BU33" s="21">
        <v>216795.51999999999</v>
      </c>
      <c r="BV33" s="21">
        <v>242254.67</v>
      </c>
      <c r="BW33" s="21">
        <v>238986.16</v>
      </c>
      <c r="BX33" s="21">
        <v>268893.15999999997</v>
      </c>
      <c r="BY33" s="21">
        <v>300556.14</v>
      </c>
      <c r="BZ33" s="21">
        <v>317387.57</v>
      </c>
      <c r="CA33" s="21">
        <v>349835.48</v>
      </c>
      <c r="CB33" s="24">
        <f t="shared" si="26"/>
        <v>1163723.73</v>
      </c>
      <c r="CC33" s="24">
        <f t="shared" si="27"/>
        <v>2918690.2099999995</v>
      </c>
    </row>
    <row r="34" spans="1:81" x14ac:dyDescent="0.25">
      <c r="A34" s="25" t="s">
        <v>43</v>
      </c>
      <c r="B34" s="25"/>
      <c r="C34" s="25" t="s">
        <v>47</v>
      </c>
      <c r="D34" s="26">
        <v>28.36</v>
      </c>
      <c r="E34" s="26">
        <v>29.15</v>
      </c>
      <c r="F34" s="26">
        <v>32.49</v>
      </c>
      <c r="G34" s="26">
        <v>29.15</v>
      </c>
      <c r="H34" s="26">
        <v>29.68</v>
      </c>
      <c r="I34" s="26">
        <v>33.6</v>
      </c>
      <c r="J34" s="26">
        <v>37.75</v>
      </c>
      <c r="K34" s="26">
        <v>33.090000000000003</v>
      </c>
      <c r="L34" s="26">
        <v>35.11</v>
      </c>
      <c r="M34" s="26">
        <v>41.26</v>
      </c>
      <c r="N34" s="26">
        <v>47.82</v>
      </c>
      <c r="O34" s="26">
        <v>49.47</v>
      </c>
      <c r="P34" s="26">
        <v>26.74</v>
      </c>
      <c r="Q34" s="26">
        <v>23.04</v>
      </c>
      <c r="R34" s="26">
        <v>26.8</v>
      </c>
      <c r="S34" s="26">
        <v>25.26</v>
      </c>
      <c r="T34" s="26">
        <v>26.57</v>
      </c>
      <c r="U34" s="26">
        <v>26.99</v>
      </c>
      <c r="V34" s="26">
        <v>29.85</v>
      </c>
      <c r="W34" s="26">
        <v>26.4</v>
      </c>
      <c r="X34" s="26">
        <v>30.91</v>
      </c>
      <c r="Y34" s="26">
        <v>29.47</v>
      </c>
      <c r="Z34" s="26">
        <v>34.56</v>
      </c>
      <c r="AA34" s="26">
        <v>38.65</v>
      </c>
      <c r="AB34" s="22">
        <f>SUM(D34:AA34)</f>
        <v>772.17</v>
      </c>
      <c r="AC34" s="22">
        <f>SUM(D34:AA34)</f>
        <v>772.17</v>
      </c>
      <c r="AD34" s="26">
        <v>2744.78</v>
      </c>
      <c r="AE34" s="26">
        <v>2242.21</v>
      </c>
      <c r="AF34" s="26">
        <v>2639.13</v>
      </c>
      <c r="AG34" s="26">
        <v>2530.69</v>
      </c>
      <c r="AH34" s="26">
        <v>2914.32</v>
      </c>
      <c r="AI34" s="26">
        <v>3371.65</v>
      </c>
      <c r="AJ34" s="26">
        <v>3055.42</v>
      </c>
      <c r="AK34" s="26">
        <v>2997.59</v>
      </c>
      <c r="AL34" s="26">
        <v>3856.34</v>
      </c>
      <c r="AM34" s="26">
        <v>3317.16</v>
      </c>
      <c r="AN34" s="26">
        <v>4054.82</v>
      </c>
      <c r="AO34" s="26">
        <v>4760.83</v>
      </c>
      <c r="AP34" s="26">
        <v>3616.37</v>
      </c>
      <c r="AQ34" s="26">
        <v>3193.95</v>
      </c>
      <c r="AR34" s="26">
        <v>3424.83</v>
      </c>
      <c r="AS34" s="26">
        <v>3269.84</v>
      </c>
      <c r="AT34" s="26">
        <v>3799.3</v>
      </c>
      <c r="AU34" s="26">
        <v>3919.02</v>
      </c>
      <c r="AV34" s="26">
        <v>3621.43</v>
      </c>
      <c r="AW34" s="26">
        <v>4154.63</v>
      </c>
      <c r="AX34" s="26">
        <v>4620.55</v>
      </c>
      <c r="AY34" s="26">
        <v>4533.26</v>
      </c>
      <c r="AZ34" s="26">
        <v>5019.59</v>
      </c>
      <c r="BA34" s="26">
        <v>5833.26</v>
      </c>
      <c r="BB34" s="23">
        <f t="shared" si="24"/>
        <v>38484.94</v>
      </c>
      <c r="BC34" s="23">
        <f t="shared" si="25"/>
        <v>49006.030000000006</v>
      </c>
      <c r="BD34" s="26">
        <v>15497.25</v>
      </c>
      <c r="BE34" s="26">
        <v>15783.28</v>
      </c>
      <c r="BF34" s="26">
        <v>16420.45</v>
      </c>
      <c r="BG34" s="26">
        <v>15836.17</v>
      </c>
      <c r="BH34" s="26">
        <v>14902.67</v>
      </c>
      <c r="BI34" s="26">
        <v>18933.060000000001</v>
      </c>
      <c r="BJ34" s="26">
        <v>19228.53</v>
      </c>
      <c r="BK34" s="26">
        <v>20553.7</v>
      </c>
      <c r="BL34" s="26">
        <v>19205.830000000002</v>
      </c>
      <c r="BM34" s="26">
        <v>22407.51</v>
      </c>
      <c r="BN34" s="26">
        <v>22283.59</v>
      </c>
      <c r="BO34" s="26">
        <v>26833.98</v>
      </c>
      <c r="BP34" s="26">
        <v>32174.57</v>
      </c>
      <c r="BQ34" s="26">
        <v>29438.58</v>
      </c>
      <c r="BR34" s="26">
        <v>30244.45</v>
      </c>
      <c r="BS34" s="26">
        <v>30598.959999999999</v>
      </c>
      <c r="BT34" s="26">
        <v>28941.17</v>
      </c>
      <c r="BU34" s="26">
        <v>33356.68</v>
      </c>
      <c r="BV34" s="26">
        <v>37273.879999999997</v>
      </c>
      <c r="BW34" s="26">
        <v>36770.980000000003</v>
      </c>
      <c r="BX34" s="26">
        <v>41372.54</v>
      </c>
      <c r="BY34" s="26">
        <v>46244.28</v>
      </c>
      <c r="BZ34" s="26">
        <v>48834.01</v>
      </c>
      <c r="CA34" s="26">
        <v>53826.52</v>
      </c>
      <c r="CB34" s="24">
        <f t="shared" si="26"/>
        <v>227886.02000000002</v>
      </c>
      <c r="CC34" s="24">
        <f t="shared" si="27"/>
        <v>449076.62</v>
      </c>
    </row>
    <row r="35" spans="1:81" x14ac:dyDescent="0.25">
      <c r="A35" s="20" t="s">
        <v>43</v>
      </c>
      <c r="B35" s="20"/>
      <c r="C35" s="20" t="s">
        <v>48</v>
      </c>
      <c r="D35" s="21">
        <v>1948.11</v>
      </c>
      <c r="E35" s="21">
        <v>2002.4</v>
      </c>
      <c r="F35" s="21">
        <v>2231.48</v>
      </c>
      <c r="G35" s="21">
        <v>2002.55</v>
      </c>
      <c r="H35" s="21">
        <v>2038.72</v>
      </c>
      <c r="I35" s="21">
        <v>2307.7600000000002</v>
      </c>
      <c r="J35" s="21">
        <v>2592.85</v>
      </c>
      <c r="K35" s="21">
        <v>2272.79</v>
      </c>
      <c r="L35" s="21">
        <v>2411.4699999999998</v>
      </c>
      <c r="M35" s="21">
        <v>2834.39</v>
      </c>
      <c r="N35" s="21">
        <v>3284.71</v>
      </c>
      <c r="O35" s="21">
        <v>3399.32</v>
      </c>
      <c r="P35" s="21">
        <v>1695.75</v>
      </c>
      <c r="Q35" s="21">
        <v>1460.81</v>
      </c>
      <c r="R35" s="21">
        <v>1699.63</v>
      </c>
      <c r="S35" s="21">
        <v>1601.46</v>
      </c>
      <c r="T35" s="21">
        <v>1684.69</v>
      </c>
      <c r="U35" s="21">
        <v>1711.31</v>
      </c>
      <c r="V35" s="21">
        <v>1892.83</v>
      </c>
      <c r="W35" s="21">
        <v>1673.96</v>
      </c>
      <c r="X35" s="21">
        <v>1960.07</v>
      </c>
      <c r="Y35" s="21">
        <v>1868.64</v>
      </c>
      <c r="Z35" s="21">
        <v>2191.33</v>
      </c>
      <c r="AA35" s="21">
        <v>2450.56</v>
      </c>
      <c r="AB35" s="22">
        <f>SUM(D35:AA35)</f>
        <v>51217.59</v>
      </c>
      <c r="AC35" s="22">
        <f>SUM(D35:AA35)</f>
        <v>51217.59</v>
      </c>
      <c r="AD35" s="21">
        <v>1973.66</v>
      </c>
      <c r="AE35" s="21">
        <v>1612.28</v>
      </c>
      <c r="AF35" s="21">
        <v>1897.69</v>
      </c>
      <c r="AG35" s="21">
        <v>1819.71</v>
      </c>
      <c r="AH35" s="21">
        <v>2095.56</v>
      </c>
      <c r="AI35" s="21">
        <v>2424.42</v>
      </c>
      <c r="AJ35" s="21">
        <v>2197.02</v>
      </c>
      <c r="AK35" s="21">
        <v>2155.44</v>
      </c>
      <c r="AL35" s="21">
        <v>2772.93</v>
      </c>
      <c r="AM35" s="21">
        <v>2385.23</v>
      </c>
      <c r="AN35" s="21">
        <v>2915.65</v>
      </c>
      <c r="AO35" s="21">
        <v>3423.32</v>
      </c>
      <c r="AP35" s="21">
        <v>1891.19</v>
      </c>
      <c r="AQ35" s="21">
        <v>1670.28</v>
      </c>
      <c r="AR35" s="21">
        <v>1791.02</v>
      </c>
      <c r="AS35" s="21">
        <v>1709.97</v>
      </c>
      <c r="AT35" s="21">
        <v>1986.85</v>
      </c>
      <c r="AU35" s="21">
        <v>2049.4499999999998</v>
      </c>
      <c r="AV35" s="21">
        <v>1893.83</v>
      </c>
      <c r="AW35" s="21">
        <v>2172.67</v>
      </c>
      <c r="AX35" s="21">
        <v>2416.3200000000002</v>
      </c>
      <c r="AY35" s="21">
        <v>2370.67</v>
      </c>
      <c r="AZ35" s="21">
        <v>2625</v>
      </c>
      <c r="BA35" s="21">
        <v>3050.53</v>
      </c>
      <c r="BB35" s="23">
        <f t="shared" si="24"/>
        <v>27672.91</v>
      </c>
      <c r="BC35" s="23">
        <f t="shared" si="25"/>
        <v>25627.78</v>
      </c>
      <c r="BD35" s="21">
        <v>6173.63</v>
      </c>
      <c r="BE35" s="21">
        <v>6287.57</v>
      </c>
      <c r="BF35" s="21">
        <v>6541.4</v>
      </c>
      <c r="BG35" s="21">
        <v>6308.64</v>
      </c>
      <c r="BH35" s="21">
        <v>5936.76</v>
      </c>
      <c r="BI35" s="21">
        <v>7542.35</v>
      </c>
      <c r="BJ35" s="21">
        <v>7660.06</v>
      </c>
      <c r="BK35" s="21">
        <v>8187.96</v>
      </c>
      <c r="BL35" s="21">
        <v>7651.01</v>
      </c>
      <c r="BM35" s="21">
        <v>8926.4599999999991</v>
      </c>
      <c r="BN35" s="21">
        <v>8877.09</v>
      </c>
      <c r="BO35" s="21">
        <v>10689.83</v>
      </c>
      <c r="BP35" s="21">
        <v>12817.36</v>
      </c>
      <c r="BQ35" s="21">
        <v>11727.42</v>
      </c>
      <c r="BR35" s="21">
        <v>12048.46</v>
      </c>
      <c r="BS35" s="21">
        <v>12189.68</v>
      </c>
      <c r="BT35" s="21">
        <v>11529.27</v>
      </c>
      <c r="BU35" s="21">
        <v>13288.27</v>
      </c>
      <c r="BV35" s="21">
        <v>14848.76</v>
      </c>
      <c r="BW35" s="21">
        <v>14648.42</v>
      </c>
      <c r="BX35" s="21">
        <v>16481.54</v>
      </c>
      <c r="BY35" s="21">
        <v>18422.3</v>
      </c>
      <c r="BZ35" s="21">
        <v>19453.96</v>
      </c>
      <c r="CA35" s="21">
        <v>21442.83</v>
      </c>
      <c r="CB35" s="24">
        <f t="shared" si="26"/>
        <v>90782.76</v>
      </c>
      <c r="CC35" s="24">
        <f t="shared" si="27"/>
        <v>178898.26999999996</v>
      </c>
    </row>
    <row r="36" spans="1:81" x14ac:dyDescent="0.25">
      <c r="A36" s="25" t="s">
        <v>43</v>
      </c>
      <c r="B36" s="25"/>
      <c r="C36" s="25" t="s">
        <v>49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2">
        <f>SUM(D36:O36)</f>
        <v>0</v>
      </c>
      <c r="AC36" s="22">
        <f t="shared" ref="AC36:AC37" si="28">SUM(P36:AA36)</f>
        <v>0</v>
      </c>
      <c r="AD36" s="26">
        <v>8070.39</v>
      </c>
      <c r="AE36" s="26">
        <v>6592.69</v>
      </c>
      <c r="AF36" s="26">
        <v>7759.75</v>
      </c>
      <c r="AG36" s="26">
        <v>7440.89</v>
      </c>
      <c r="AH36" s="26">
        <v>8568.8700000000008</v>
      </c>
      <c r="AI36" s="26">
        <v>9913.57</v>
      </c>
      <c r="AJ36" s="26">
        <v>8983.75</v>
      </c>
      <c r="AK36" s="26">
        <v>8813.7000000000007</v>
      </c>
      <c r="AL36" s="26">
        <v>11338.67</v>
      </c>
      <c r="AM36" s="26">
        <v>9753.32</v>
      </c>
      <c r="AN36" s="26">
        <v>11922.26</v>
      </c>
      <c r="AO36" s="26">
        <v>13998.14</v>
      </c>
      <c r="AP36" s="26">
        <v>7733.16</v>
      </c>
      <c r="AQ36" s="26">
        <v>6829.87</v>
      </c>
      <c r="AR36" s="26">
        <v>7323.57</v>
      </c>
      <c r="AS36" s="26">
        <v>6992.14</v>
      </c>
      <c r="AT36" s="26">
        <v>8124.32</v>
      </c>
      <c r="AU36" s="26">
        <v>8380.33</v>
      </c>
      <c r="AV36" s="26">
        <v>7743.99</v>
      </c>
      <c r="AW36" s="26">
        <v>8884.16</v>
      </c>
      <c r="AX36" s="26">
        <v>9880.48</v>
      </c>
      <c r="AY36" s="26">
        <v>9693.81</v>
      </c>
      <c r="AZ36" s="26">
        <v>10733.78</v>
      </c>
      <c r="BA36" s="26">
        <v>12473.73</v>
      </c>
      <c r="BB36" s="23">
        <f t="shared" si="24"/>
        <v>113156</v>
      </c>
      <c r="BC36" s="23">
        <f t="shared" si="25"/>
        <v>104793.33999999998</v>
      </c>
      <c r="BD36" s="26">
        <v>25676.82</v>
      </c>
      <c r="BE36" s="26">
        <v>26150.74</v>
      </c>
      <c r="BF36" s="26">
        <v>27206.44</v>
      </c>
      <c r="BG36" s="26">
        <v>26238.37</v>
      </c>
      <c r="BH36" s="26">
        <v>24691.69</v>
      </c>
      <c r="BI36" s="26">
        <v>31369.49</v>
      </c>
      <c r="BJ36" s="26">
        <v>31859.05</v>
      </c>
      <c r="BK36" s="26">
        <v>34054.67</v>
      </c>
      <c r="BL36" s="26">
        <v>31821.43</v>
      </c>
      <c r="BM36" s="26">
        <v>37126.18</v>
      </c>
      <c r="BN36" s="26">
        <v>36920.85</v>
      </c>
      <c r="BO36" s="26">
        <v>44460.2</v>
      </c>
      <c r="BP36" s="26">
        <v>58155.12</v>
      </c>
      <c r="BQ36" s="26">
        <v>53209.86</v>
      </c>
      <c r="BR36" s="26">
        <v>54666.46</v>
      </c>
      <c r="BS36" s="26">
        <v>55307.22</v>
      </c>
      <c r="BT36" s="26">
        <v>52310.78</v>
      </c>
      <c r="BU36" s="26">
        <v>60291.76</v>
      </c>
      <c r="BV36" s="26">
        <v>67372.05</v>
      </c>
      <c r="BW36" s="26">
        <v>66463.070000000007</v>
      </c>
      <c r="BX36" s="26">
        <v>74780.33</v>
      </c>
      <c r="BY36" s="26">
        <v>83585.94</v>
      </c>
      <c r="BZ36" s="26">
        <v>88266.83</v>
      </c>
      <c r="CA36" s="26">
        <v>97290.72</v>
      </c>
      <c r="CB36" s="24">
        <f t="shared" si="26"/>
        <v>377575.92999999993</v>
      </c>
      <c r="CC36" s="24">
        <f t="shared" si="27"/>
        <v>811700.14</v>
      </c>
    </row>
    <row r="37" spans="1:81" x14ac:dyDescent="0.25">
      <c r="A37" s="27" t="s">
        <v>43</v>
      </c>
      <c r="B37" s="27"/>
      <c r="C37" s="27" t="s">
        <v>24</v>
      </c>
      <c r="D37" s="28">
        <f t="shared" ref="D37:AA37" si="29">SUM(D31:D36)</f>
        <v>1269824.5100000002</v>
      </c>
      <c r="E37" s="28">
        <f t="shared" si="29"/>
        <v>1305210.95</v>
      </c>
      <c r="F37" s="28">
        <f t="shared" si="29"/>
        <v>1454529.12</v>
      </c>
      <c r="G37" s="28">
        <f t="shared" si="29"/>
        <v>1305310.7499999998</v>
      </c>
      <c r="H37" s="28">
        <f t="shared" si="29"/>
        <v>1328885.3199999998</v>
      </c>
      <c r="I37" s="28">
        <f t="shared" si="29"/>
        <v>1504249.8</v>
      </c>
      <c r="J37" s="28">
        <f t="shared" si="29"/>
        <v>1690077.3499999999</v>
      </c>
      <c r="K37" s="28">
        <f t="shared" si="29"/>
        <v>1481459.3900000001</v>
      </c>
      <c r="L37" s="28">
        <f t="shared" si="29"/>
        <v>1571851.01</v>
      </c>
      <c r="M37" s="28">
        <f t="shared" si="29"/>
        <v>1847521.8499999999</v>
      </c>
      <c r="N37" s="28">
        <f t="shared" si="29"/>
        <v>2141047.3499999996</v>
      </c>
      <c r="O37" s="28">
        <f t="shared" si="29"/>
        <v>2215746.4000000004</v>
      </c>
      <c r="P37" s="28">
        <f t="shared" si="29"/>
        <v>1089855.21</v>
      </c>
      <c r="Q37" s="28">
        <f t="shared" si="29"/>
        <v>938859.25000000012</v>
      </c>
      <c r="R37" s="28">
        <f t="shared" si="29"/>
        <v>1092347.29</v>
      </c>
      <c r="S37" s="28">
        <f t="shared" si="29"/>
        <v>1029253.01</v>
      </c>
      <c r="T37" s="28">
        <f t="shared" si="29"/>
        <v>1082747.28</v>
      </c>
      <c r="U37" s="28">
        <f t="shared" si="29"/>
        <v>1099851.01</v>
      </c>
      <c r="V37" s="28">
        <f t="shared" si="29"/>
        <v>1216513.3800000001</v>
      </c>
      <c r="W37" s="28">
        <f t="shared" si="29"/>
        <v>1075848.72</v>
      </c>
      <c r="X37" s="28">
        <f t="shared" si="29"/>
        <v>1259731.1300000001</v>
      </c>
      <c r="Y37" s="28">
        <f t="shared" si="29"/>
        <v>1200966.8400000001</v>
      </c>
      <c r="Z37" s="28">
        <f t="shared" si="29"/>
        <v>1408359.0000000002</v>
      </c>
      <c r="AA37" s="28">
        <f t="shared" si="29"/>
        <v>1574978.3399999999</v>
      </c>
      <c r="AB37" s="28">
        <f>SUM(D37:O37)</f>
        <v>19115713.799999997</v>
      </c>
      <c r="AC37" s="28">
        <f t="shared" si="28"/>
        <v>14069310.460000001</v>
      </c>
      <c r="AD37" s="28">
        <f t="shared" ref="AD37:BA37" si="30">SUM(AD31:AD36)</f>
        <v>2342310.33</v>
      </c>
      <c r="AE37" s="28">
        <f t="shared" si="30"/>
        <v>1913428.43</v>
      </c>
      <c r="AF37" s="28">
        <f t="shared" si="30"/>
        <v>2252151.6999999997</v>
      </c>
      <c r="AG37" s="28">
        <f t="shared" si="30"/>
        <v>2159607.42</v>
      </c>
      <c r="AH37" s="28">
        <f t="shared" si="30"/>
        <v>2486986.86</v>
      </c>
      <c r="AI37" s="28">
        <f t="shared" si="30"/>
        <v>2877263.7399999998</v>
      </c>
      <c r="AJ37" s="28">
        <f t="shared" si="30"/>
        <v>2607397.67</v>
      </c>
      <c r="AK37" s="28">
        <f t="shared" si="30"/>
        <v>2558044.2900000005</v>
      </c>
      <c r="AL37" s="28">
        <f t="shared" si="30"/>
        <v>3290877.66</v>
      </c>
      <c r="AM37" s="28">
        <f t="shared" si="30"/>
        <v>2830755.73</v>
      </c>
      <c r="AN37" s="28">
        <f t="shared" si="30"/>
        <v>3460257.5899999994</v>
      </c>
      <c r="AO37" s="28">
        <f t="shared" si="30"/>
        <v>4062746.0100000002</v>
      </c>
      <c r="AP37" s="28">
        <f t="shared" si="30"/>
        <v>3206769.3700000006</v>
      </c>
      <c r="AQ37" s="28">
        <f t="shared" si="30"/>
        <v>2832194.8800000004</v>
      </c>
      <c r="AR37" s="28">
        <f t="shared" si="30"/>
        <v>3036920.5</v>
      </c>
      <c r="AS37" s="28">
        <f t="shared" si="30"/>
        <v>2899483.29</v>
      </c>
      <c r="AT37" s="28">
        <f t="shared" si="30"/>
        <v>3368973.8999999994</v>
      </c>
      <c r="AU37" s="28">
        <f t="shared" si="30"/>
        <v>3475133.8200000003</v>
      </c>
      <c r="AV37" s="28">
        <f t="shared" si="30"/>
        <v>3211257.4200000004</v>
      </c>
      <c r="AW37" s="28">
        <f t="shared" si="30"/>
        <v>3684060.9699999997</v>
      </c>
      <c r="AX37" s="28">
        <f t="shared" si="30"/>
        <v>4097212.34</v>
      </c>
      <c r="AY37" s="28">
        <f t="shared" si="30"/>
        <v>4019806.2699999996</v>
      </c>
      <c r="AZ37" s="28">
        <f t="shared" si="30"/>
        <v>4451057.7300000004</v>
      </c>
      <c r="BA37" s="28">
        <f t="shared" si="30"/>
        <v>5172568.82</v>
      </c>
      <c r="BB37" s="28">
        <f t="shared" si="24"/>
        <v>32841827.43</v>
      </c>
      <c r="BC37" s="28">
        <f t="shared" si="25"/>
        <v>43455439.309999995</v>
      </c>
      <c r="BD37" s="28">
        <f t="shared" ref="BD37:CA37" si="31">SUM(BD31:BD36)</f>
        <v>488448.75999999995</v>
      </c>
      <c r="BE37" s="28">
        <f t="shared" si="31"/>
        <v>497464.04000000004</v>
      </c>
      <c r="BF37" s="28">
        <f t="shared" si="31"/>
        <v>517546.59</v>
      </c>
      <c r="BG37" s="28">
        <f t="shared" si="31"/>
        <v>499130.93</v>
      </c>
      <c r="BH37" s="28">
        <f t="shared" si="31"/>
        <v>469708.51</v>
      </c>
      <c r="BI37" s="28">
        <f t="shared" si="31"/>
        <v>596740.06000000006</v>
      </c>
      <c r="BJ37" s="28">
        <f t="shared" si="31"/>
        <v>606052.85000000009</v>
      </c>
      <c r="BK37" s="28">
        <f t="shared" si="31"/>
        <v>647819.92999999993</v>
      </c>
      <c r="BL37" s="28">
        <f t="shared" si="31"/>
        <v>605337.16</v>
      </c>
      <c r="BM37" s="28">
        <f t="shared" si="31"/>
        <v>706249.22000000009</v>
      </c>
      <c r="BN37" s="28">
        <f t="shared" si="31"/>
        <v>702343.2699999999</v>
      </c>
      <c r="BO37" s="28">
        <f t="shared" si="31"/>
        <v>845763.73</v>
      </c>
      <c r="BP37" s="28">
        <f t="shared" si="31"/>
        <v>1059726.8900000001</v>
      </c>
      <c r="BQ37" s="28">
        <f t="shared" si="31"/>
        <v>969612.21000000008</v>
      </c>
      <c r="BR37" s="28">
        <f t="shared" si="31"/>
        <v>996154.99999999988</v>
      </c>
      <c r="BS37" s="28">
        <f t="shared" si="31"/>
        <v>1007831.18</v>
      </c>
      <c r="BT37" s="28">
        <f t="shared" si="31"/>
        <v>953228.85000000009</v>
      </c>
      <c r="BU37" s="28">
        <f t="shared" si="31"/>
        <v>1098661.53</v>
      </c>
      <c r="BV37" s="28">
        <f t="shared" si="31"/>
        <v>1227681.6399999999</v>
      </c>
      <c r="BW37" s="28">
        <f t="shared" si="31"/>
        <v>1211117.71</v>
      </c>
      <c r="BX37" s="28">
        <f t="shared" si="31"/>
        <v>1362678.34</v>
      </c>
      <c r="BY37" s="28">
        <f t="shared" si="31"/>
        <v>1523137.83</v>
      </c>
      <c r="BZ37" s="28">
        <f t="shared" si="31"/>
        <v>1608435.02</v>
      </c>
      <c r="CA37" s="28">
        <f t="shared" si="31"/>
        <v>1772872.3599999999</v>
      </c>
      <c r="CB37" s="28">
        <f t="shared" si="26"/>
        <v>7182605.0499999989</v>
      </c>
      <c r="CC37" s="28">
        <f t="shared" si="27"/>
        <v>14791138.560000001</v>
      </c>
    </row>
    <row r="39" spans="1:81" x14ac:dyDescent="0.25">
      <c r="A39" s="20" t="s">
        <v>50</v>
      </c>
      <c r="B39" s="20"/>
      <c r="C39" s="20" t="s">
        <v>51</v>
      </c>
      <c r="D39" s="21">
        <v>966972.93</v>
      </c>
      <c r="E39" s="21">
        <v>967659.55</v>
      </c>
      <c r="F39" s="21">
        <v>959455.15</v>
      </c>
      <c r="G39" s="21">
        <v>924480.53</v>
      </c>
      <c r="H39" s="21">
        <v>992037.05</v>
      </c>
      <c r="I39" s="21">
        <v>1049525.6200000001</v>
      </c>
      <c r="J39" s="21">
        <v>1138903.01</v>
      </c>
      <c r="K39" s="21">
        <v>1117758.74</v>
      </c>
      <c r="L39" s="21">
        <v>1256641.6100000001</v>
      </c>
      <c r="M39" s="21">
        <v>1251990.9099999999</v>
      </c>
      <c r="N39" s="21">
        <v>1433956.16</v>
      </c>
      <c r="O39" s="21">
        <v>1591035.17</v>
      </c>
      <c r="P39" s="21">
        <v>845717.95</v>
      </c>
      <c r="Q39" s="21">
        <v>747733.47</v>
      </c>
      <c r="R39" s="21">
        <v>760703.12</v>
      </c>
      <c r="S39" s="21">
        <v>810175.81</v>
      </c>
      <c r="T39" s="21">
        <v>746080.43</v>
      </c>
      <c r="U39" s="21">
        <v>746438.21</v>
      </c>
      <c r="V39" s="21">
        <v>914817.45</v>
      </c>
      <c r="W39" s="21">
        <v>912101.82</v>
      </c>
      <c r="X39" s="21">
        <v>1095310.25</v>
      </c>
      <c r="Y39" s="21">
        <v>996817.61</v>
      </c>
      <c r="Z39" s="21">
        <v>1123573.8700000001</v>
      </c>
      <c r="AA39" s="21">
        <v>1339115.76</v>
      </c>
      <c r="AB39" s="22">
        <f>SUM(D39:AA39)</f>
        <v>24689002.18</v>
      </c>
      <c r="AC39" s="22">
        <f>SUM(D39:AA39)</f>
        <v>24689002.18</v>
      </c>
      <c r="AD39" s="21">
        <v>20710.349999999999</v>
      </c>
      <c r="AE39" s="21">
        <v>19597</v>
      </c>
      <c r="AF39" s="21">
        <v>22170.68</v>
      </c>
      <c r="AG39" s="21">
        <v>19257.72</v>
      </c>
      <c r="AH39" s="21">
        <v>21372.04</v>
      </c>
      <c r="AI39" s="21">
        <v>22330.69</v>
      </c>
      <c r="AJ39" s="21">
        <v>21180.16</v>
      </c>
      <c r="AK39" s="21">
        <v>25001.11</v>
      </c>
      <c r="AL39" s="21">
        <v>24441.22</v>
      </c>
      <c r="AM39" s="21">
        <v>24259.15</v>
      </c>
      <c r="AN39" s="21">
        <v>24989.31</v>
      </c>
      <c r="AO39" s="21">
        <v>28070.44</v>
      </c>
      <c r="AP39" s="21">
        <v>27228.82</v>
      </c>
      <c r="AQ39" s="21">
        <v>24627.22</v>
      </c>
      <c r="AR39" s="21">
        <v>27249.31</v>
      </c>
      <c r="AS39" s="21">
        <v>21207.16</v>
      </c>
      <c r="AT39" s="21">
        <v>23147.23</v>
      </c>
      <c r="AU39" s="21">
        <v>27312.87</v>
      </c>
      <c r="AV39" s="21">
        <v>26520.720000000001</v>
      </c>
      <c r="AW39" s="21">
        <v>31963.919999999998</v>
      </c>
      <c r="AX39" s="21">
        <v>30055.53</v>
      </c>
      <c r="AY39" s="21">
        <v>30409.68</v>
      </c>
      <c r="AZ39" s="21">
        <v>40184.71</v>
      </c>
      <c r="BA39" s="21">
        <v>38209.9</v>
      </c>
      <c r="BB39" s="23">
        <f t="shared" ref="BB39:BB45" si="32">SUM(AD39:AO39)</f>
        <v>273379.87</v>
      </c>
      <c r="BC39" s="23">
        <f t="shared" ref="BC39:BC45" si="33">SUM(AP39:BA39)</f>
        <v>348117.07000000007</v>
      </c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4">
        <f t="shared" ref="CB39:CB45" si="34">SUM(BD39:BO39)</f>
        <v>0</v>
      </c>
      <c r="CC39" s="24">
        <f t="shared" ref="CC39:CC45" si="35">SUM(BP39:CA39)</f>
        <v>0</v>
      </c>
    </row>
    <row r="40" spans="1:81" x14ac:dyDescent="0.25">
      <c r="A40" s="25" t="s">
        <v>50</v>
      </c>
      <c r="B40" s="25"/>
      <c r="C40" s="25" t="s">
        <v>52</v>
      </c>
      <c r="D40" s="26">
        <v>6704.63</v>
      </c>
      <c r="E40" s="26">
        <v>6709.39</v>
      </c>
      <c r="F40" s="26">
        <v>6652.51</v>
      </c>
      <c r="G40" s="26">
        <v>6410</v>
      </c>
      <c r="H40" s="26">
        <v>6878.42</v>
      </c>
      <c r="I40" s="26">
        <v>7277.02</v>
      </c>
      <c r="J40" s="26">
        <v>7896.73</v>
      </c>
      <c r="K40" s="26">
        <v>7750.12</v>
      </c>
      <c r="L40" s="26">
        <v>8713.09</v>
      </c>
      <c r="M40" s="26">
        <v>8680.84</v>
      </c>
      <c r="N40" s="26">
        <v>9942.52</v>
      </c>
      <c r="O40" s="26">
        <v>11031.65</v>
      </c>
      <c r="P40" s="26">
        <v>3383.02</v>
      </c>
      <c r="Q40" s="26">
        <v>2991.06</v>
      </c>
      <c r="R40" s="26">
        <v>3042.94</v>
      </c>
      <c r="S40" s="26">
        <v>3240.84</v>
      </c>
      <c r="T40" s="26">
        <v>2984.45</v>
      </c>
      <c r="U40" s="26">
        <v>2985.88</v>
      </c>
      <c r="V40" s="26">
        <v>3659.43</v>
      </c>
      <c r="W40" s="26">
        <v>3648.56</v>
      </c>
      <c r="X40" s="26">
        <v>4381.43</v>
      </c>
      <c r="Y40" s="26">
        <v>3987.44</v>
      </c>
      <c r="Z40" s="26">
        <v>4494.49</v>
      </c>
      <c r="AA40" s="26">
        <v>5356.68</v>
      </c>
      <c r="AB40" s="22">
        <f>SUM(D40:AA40)</f>
        <v>138803.13999999998</v>
      </c>
      <c r="AC40" s="22">
        <f>SUM(D40:AA40)</f>
        <v>138803.13999999998</v>
      </c>
      <c r="AD40" s="26">
        <v>7466.43</v>
      </c>
      <c r="AE40" s="26">
        <v>7065.05</v>
      </c>
      <c r="AF40" s="26">
        <v>7992.9</v>
      </c>
      <c r="AG40" s="26">
        <v>6942.73</v>
      </c>
      <c r="AH40" s="26">
        <v>7704.98</v>
      </c>
      <c r="AI40" s="26">
        <v>8050.59</v>
      </c>
      <c r="AJ40" s="26">
        <v>7635.8</v>
      </c>
      <c r="AK40" s="26">
        <v>9013.32</v>
      </c>
      <c r="AL40" s="26">
        <v>8811.4699999999993</v>
      </c>
      <c r="AM40" s="26">
        <v>8745.83</v>
      </c>
      <c r="AN40" s="26">
        <v>9009.06</v>
      </c>
      <c r="AO40" s="26">
        <v>10119.85</v>
      </c>
      <c r="AP40" s="26">
        <v>9370.24</v>
      </c>
      <c r="AQ40" s="26">
        <v>8474.9500000000007</v>
      </c>
      <c r="AR40" s="26">
        <v>9377.2999999999993</v>
      </c>
      <c r="AS40" s="26">
        <v>7298.01</v>
      </c>
      <c r="AT40" s="26">
        <v>7965.65</v>
      </c>
      <c r="AU40" s="26">
        <v>9399.17</v>
      </c>
      <c r="AV40" s="26">
        <v>9126.57</v>
      </c>
      <c r="AW40" s="26">
        <v>10999.73</v>
      </c>
      <c r="AX40" s="26">
        <v>10343</v>
      </c>
      <c r="AY40" s="26">
        <v>10464.870000000001</v>
      </c>
      <c r="AZ40" s="26">
        <v>13828.75</v>
      </c>
      <c r="BA40" s="26">
        <v>13149.14</v>
      </c>
      <c r="BB40" s="23">
        <f t="shared" si="32"/>
        <v>98558.01</v>
      </c>
      <c r="BC40" s="23">
        <f t="shared" si="33"/>
        <v>119797.37999999999</v>
      </c>
      <c r="BD40" s="26">
        <v>2192.3000000000002</v>
      </c>
      <c r="BE40" s="26">
        <v>1723.3</v>
      </c>
      <c r="BF40" s="26">
        <v>2151.83</v>
      </c>
      <c r="BG40" s="26">
        <v>2204.6</v>
      </c>
      <c r="BH40" s="26">
        <v>2060.86</v>
      </c>
      <c r="BI40" s="26">
        <v>2112.86</v>
      </c>
      <c r="BJ40" s="26">
        <v>2435.54</v>
      </c>
      <c r="BK40" s="26">
        <v>2425.61</v>
      </c>
      <c r="BL40" s="26">
        <v>2910.94</v>
      </c>
      <c r="BM40" s="26">
        <v>2415.69</v>
      </c>
      <c r="BN40" s="26">
        <v>3066.44</v>
      </c>
      <c r="BO40" s="26">
        <v>2964.08</v>
      </c>
      <c r="BP40" s="26">
        <v>4489.8</v>
      </c>
      <c r="BQ40" s="26">
        <v>3771.46</v>
      </c>
      <c r="BR40" s="26">
        <v>4750.3900000000003</v>
      </c>
      <c r="BS40" s="26">
        <v>3945.17</v>
      </c>
      <c r="BT40" s="26">
        <v>4274.2</v>
      </c>
      <c r="BU40" s="26">
        <v>5050.04</v>
      </c>
      <c r="BV40" s="26">
        <v>5146.9399999999996</v>
      </c>
      <c r="BW40" s="26">
        <v>5200.51</v>
      </c>
      <c r="BX40" s="26">
        <v>6285.11</v>
      </c>
      <c r="BY40" s="26">
        <v>5717.94</v>
      </c>
      <c r="BZ40" s="26">
        <v>5966.61</v>
      </c>
      <c r="CA40" s="26">
        <v>7022.84</v>
      </c>
      <c r="CB40" s="24">
        <f t="shared" si="34"/>
        <v>28664.049999999996</v>
      </c>
      <c r="CC40" s="24">
        <f t="shared" si="35"/>
        <v>61621.010000000009</v>
      </c>
    </row>
    <row r="41" spans="1:81" x14ac:dyDescent="0.25">
      <c r="A41" s="20" t="s">
        <v>50</v>
      </c>
      <c r="B41" s="20"/>
      <c r="C41" s="20" t="s">
        <v>53</v>
      </c>
      <c r="D41" s="21">
        <v>97162.69</v>
      </c>
      <c r="E41" s="21">
        <v>97231.679999999993</v>
      </c>
      <c r="F41" s="21">
        <v>96407.29</v>
      </c>
      <c r="G41" s="21">
        <v>92893</v>
      </c>
      <c r="H41" s="21">
        <v>99681.16</v>
      </c>
      <c r="I41" s="21">
        <v>105457.69</v>
      </c>
      <c r="J41" s="21">
        <v>114438.44</v>
      </c>
      <c r="K41" s="21">
        <v>112313.84</v>
      </c>
      <c r="L41" s="21">
        <v>126268.97</v>
      </c>
      <c r="M41" s="21">
        <v>125801.66</v>
      </c>
      <c r="N41" s="21">
        <v>144085.76000000001</v>
      </c>
      <c r="O41" s="21">
        <v>159869.25</v>
      </c>
      <c r="P41" s="21">
        <v>58831.5</v>
      </c>
      <c r="Q41" s="21">
        <v>52015.31</v>
      </c>
      <c r="R41" s="21">
        <v>52917.53</v>
      </c>
      <c r="S41" s="21">
        <v>56359.05</v>
      </c>
      <c r="T41" s="21">
        <v>51900.32</v>
      </c>
      <c r="U41" s="21">
        <v>51925.2</v>
      </c>
      <c r="V41" s="21">
        <v>63638.33</v>
      </c>
      <c r="W41" s="21">
        <v>63449.42</v>
      </c>
      <c r="X41" s="21">
        <v>76194.13</v>
      </c>
      <c r="Y41" s="21">
        <v>69342.59</v>
      </c>
      <c r="Z41" s="21">
        <v>78160.259999999995</v>
      </c>
      <c r="AA41" s="21">
        <v>93154.2</v>
      </c>
      <c r="AB41" s="22">
        <f>SUM(D41:AA41)</f>
        <v>2139499.2700000005</v>
      </c>
      <c r="AC41" s="22">
        <f>SUM(D41:AA41)</f>
        <v>2139499.2700000005</v>
      </c>
      <c r="AD41" s="21">
        <v>201039.67</v>
      </c>
      <c r="AE41" s="21">
        <v>190232.16</v>
      </c>
      <c r="AF41" s="21">
        <v>215215.41</v>
      </c>
      <c r="AG41" s="21">
        <v>186938.69</v>
      </c>
      <c r="AH41" s="21">
        <v>207462.83</v>
      </c>
      <c r="AI41" s="21">
        <v>216768.7</v>
      </c>
      <c r="AJ41" s="21">
        <v>205600.24</v>
      </c>
      <c r="AK41" s="21">
        <v>242691.05</v>
      </c>
      <c r="AL41" s="21">
        <v>237256.02</v>
      </c>
      <c r="AM41" s="21">
        <v>235488.63</v>
      </c>
      <c r="AN41" s="21">
        <v>242576.44</v>
      </c>
      <c r="AO41" s="21">
        <v>272485.89</v>
      </c>
      <c r="AP41" s="21">
        <v>312373.26</v>
      </c>
      <c r="AQ41" s="21">
        <v>282527.32</v>
      </c>
      <c r="AR41" s="21">
        <v>312608.40999999997</v>
      </c>
      <c r="AS41" s="21">
        <v>243291.84</v>
      </c>
      <c r="AT41" s="21">
        <v>265548.61</v>
      </c>
      <c r="AU41" s="21">
        <v>313337.58</v>
      </c>
      <c r="AV41" s="21">
        <v>304249.92</v>
      </c>
      <c r="AW41" s="21">
        <v>366695.09</v>
      </c>
      <c r="AX41" s="21">
        <v>344801.81</v>
      </c>
      <c r="AY41" s="21">
        <v>348864.66</v>
      </c>
      <c r="AZ41" s="21">
        <v>461005.29</v>
      </c>
      <c r="BA41" s="21">
        <v>438349.87</v>
      </c>
      <c r="BB41" s="23">
        <f t="shared" si="32"/>
        <v>2653755.73</v>
      </c>
      <c r="BC41" s="23">
        <f t="shared" si="33"/>
        <v>3993653.66</v>
      </c>
      <c r="BD41" s="21">
        <v>42096.47</v>
      </c>
      <c r="BE41" s="21">
        <v>33090.83</v>
      </c>
      <c r="BF41" s="21">
        <v>41319.54</v>
      </c>
      <c r="BG41" s="21">
        <v>42332.68</v>
      </c>
      <c r="BH41" s="21">
        <v>39572.6</v>
      </c>
      <c r="BI41" s="21">
        <v>40571.21</v>
      </c>
      <c r="BJ41" s="21">
        <v>46767.22</v>
      </c>
      <c r="BK41" s="21">
        <v>46576.54</v>
      </c>
      <c r="BL41" s="21">
        <v>55895.93</v>
      </c>
      <c r="BM41" s="21">
        <v>46386.06</v>
      </c>
      <c r="BN41" s="21">
        <v>58881.74</v>
      </c>
      <c r="BO41" s="21">
        <v>56916.34</v>
      </c>
      <c r="BP41" s="21">
        <v>93397.67</v>
      </c>
      <c r="BQ41" s="21">
        <v>78454.509999999995</v>
      </c>
      <c r="BR41" s="21">
        <v>98818.41</v>
      </c>
      <c r="BS41" s="21">
        <v>82068.13</v>
      </c>
      <c r="BT41" s="21">
        <v>88912.71</v>
      </c>
      <c r="BU41" s="21">
        <v>105051.77</v>
      </c>
      <c r="BV41" s="21">
        <v>107067.62</v>
      </c>
      <c r="BW41" s="21">
        <v>108182</v>
      </c>
      <c r="BX41" s="21">
        <v>130743.84</v>
      </c>
      <c r="BY41" s="21">
        <v>118945.59</v>
      </c>
      <c r="BZ41" s="21">
        <v>124118.44</v>
      </c>
      <c r="CA41" s="21">
        <v>146090.16</v>
      </c>
      <c r="CB41" s="24">
        <f t="shared" si="34"/>
        <v>550407.15999999992</v>
      </c>
      <c r="CC41" s="24">
        <f t="shared" si="35"/>
        <v>1281850.8499999999</v>
      </c>
    </row>
    <row r="42" spans="1:81" x14ac:dyDescent="0.25">
      <c r="A42" s="25" t="s">
        <v>50</v>
      </c>
      <c r="B42" s="25"/>
      <c r="C42" s="25" t="s">
        <v>54</v>
      </c>
      <c r="D42" s="26">
        <v>39145.85</v>
      </c>
      <c r="E42" s="26">
        <v>39173.65</v>
      </c>
      <c r="F42" s="26">
        <v>38841.51</v>
      </c>
      <c r="G42" s="26">
        <v>37425.629999999997</v>
      </c>
      <c r="H42" s="26">
        <v>40160.519999999997</v>
      </c>
      <c r="I42" s="26">
        <v>42487.82</v>
      </c>
      <c r="J42" s="26">
        <v>46106.07</v>
      </c>
      <c r="K42" s="26">
        <v>45250.09</v>
      </c>
      <c r="L42" s="26">
        <v>50872.47</v>
      </c>
      <c r="M42" s="26">
        <v>50684.2</v>
      </c>
      <c r="N42" s="26">
        <v>58050.68</v>
      </c>
      <c r="O42" s="26">
        <v>64409.69</v>
      </c>
      <c r="P42" s="26">
        <v>36870.720000000001</v>
      </c>
      <c r="Q42" s="26">
        <v>32598.9</v>
      </c>
      <c r="R42" s="26">
        <v>33164.33</v>
      </c>
      <c r="S42" s="26">
        <v>35321.19</v>
      </c>
      <c r="T42" s="26">
        <v>32526.83</v>
      </c>
      <c r="U42" s="26">
        <v>32542.43</v>
      </c>
      <c r="V42" s="26">
        <v>39883.25</v>
      </c>
      <c r="W42" s="26">
        <v>39764.86</v>
      </c>
      <c r="X42" s="26">
        <v>47752.18</v>
      </c>
      <c r="Y42" s="26">
        <v>43458.21</v>
      </c>
      <c r="Z42" s="26">
        <v>48984.39</v>
      </c>
      <c r="AA42" s="26">
        <v>58381.36</v>
      </c>
      <c r="AB42" s="22">
        <f>SUM(D42:AA42)</f>
        <v>1033856.8299999998</v>
      </c>
      <c r="AC42" s="22">
        <f>SUM(D42:AA42)</f>
        <v>1033856.8299999998</v>
      </c>
      <c r="AD42" s="26">
        <v>52082.61</v>
      </c>
      <c r="AE42" s="26">
        <v>49282.75</v>
      </c>
      <c r="AF42" s="26">
        <v>55755.07</v>
      </c>
      <c r="AG42" s="26">
        <v>48429.52</v>
      </c>
      <c r="AH42" s="26">
        <v>53746.63</v>
      </c>
      <c r="AI42" s="26">
        <v>56157.47</v>
      </c>
      <c r="AJ42" s="26">
        <v>53264.1</v>
      </c>
      <c r="AK42" s="26">
        <v>62873.08</v>
      </c>
      <c r="AL42" s="26">
        <v>61465.05</v>
      </c>
      <c r="AM42" s="26">
        <v>61007.18</v>
      </c>
      <c r="AN42" s="26">
        <v>62843.39</v>
      </c>
      <c r="AO42" s="26">
        <v>70591.92</v>
      </c>
      <c r="AP42" s="26">
        <v>56025.27</v>
      </c>
      <c r="AQ42" s="26">
        <v>50672.3</v>
      </c>
      <c r="AR42" s="26">
        <v>56067.45</v>
      </c>
      <c r="AS42" s="26">
        <v>43635.27</v>
      </c>
      <c r="AT42" s="26">
        <v>47627.1</v>
      </c>
      <c r="AU42" s="26">
        <v>56198.23</v>
      </c>
      <c r="AV42" s="26">
        <v>54568.32</v>
      </c>
      <c r="AW42" s="26">
        <v>65768.09</v>
      </c>
      <c r="AX42" s="26">
        <v>61841.45</v>
      </c>
      <c r="AY42" s="26">
        <v>62570.14</v>
      </c>
      <c r="AZ42" s="26">
        <v>82682.97</v>
      </c>
      <c r="BA42" s="26">
        <v>78619.63</v>
      </c>
      <c r="BB42" s="23">
        <f t="shared" si="32"/>
        <v>687498.77</v>
      </c>
      <c r="BC42" s="23">
        <f t="shared" si="33"/>
        <v>716276.22</v>
      </c>
      <c r="BD42" s="26">
        <v>142.16999999999999</v>
      </c>
      <c r="BE42" s="26">
        <v>111.75</v>
      </c>
      <c r="BF42" s="26">
        <v>139.54</v>
      </c>
      <c r="BG42" s="26">
        <v>142.96</v>
      </c>
      <c r="BH42" s="26">
        <v>133.63999999999999</v>
      </c>
      <c r="BI42" s="26">
        <v>137.02000000000001</v>
      </c>
      <c r="BJ42" s="26">
        <v>157.94</v>
      </c>
      <c r="BK42" s="26">
        <v>157.30000000000001</v>
      </c>
      <c r="BL42" s="26">
        <v>188.77</v>
      </c>
      <c r="BM42" s="26">
        <v>156.65</v>
      </c>
      <c r="BN42" s="26">
        <v>198.85</v>
      </c>
      <c r="BO42" s="26">
        <v>192.23</v>
      </c>
      <c r="BP42" s="26">
        <v>279.02999999999997</v>
      </c>
      <c r="BQ42" s="26">
        <v>234.38</v>
      </c>
      <c r="BR42" s="26">
        <v>295.22000000000003</v>
      </c>
      <c r="BS42" s="26">
        <v>245.18</v>
      </c>
      <c r="BT42" s="26">
        <v>265.63</v>
      </c>
      <c r="BU42" s="26">
        <v>313.83999999999997</v>
      </c>
      <c r="BV42" s="26">
        <v>319.86</v>
      </c>
      <c r="BW42" s="26">
        <v>323.19</v>
      </c>
      <c r="BX42" s="26">
        <v>390.6</v>
      </c>
      <c r="BY42" s="26">
        <v>355.35</v>
      </c>
      <c r="BZ42" s="26">
        <v>370.8</v>
      </c>
      <c r="CA42" s="26">
        <v>436.44</v>
      </c>
      <c r="CB42" s="24">
        <f t="shared" si="34"/>
        <v>1858.82</v>
      </c>
      <c r="CC42" s="24">
        <f t="shared" si="35"/>
        <v>3829.52</v>
      </c>
    </row>
    <row r="43" spans="1:81" x14ac:dyDescent="0.25">
      <c r="A43" s="20" t="s">
        <v>50</v>
      </c>
      <c r="B43" s="20"/>
      <c r="C43" s="20" t="s">
        <v>55</v>
      </c>
      <c r="D43" s="21">
        <v>10525.46</v>
      </c>
      <c r="E43" s="21">
        <v>10532.93</v>
      </c>
      <c r="F43" s="21">
        <v>10443.629999999999</v>
      </c>
      <c r="G43" s="21">
        <v>10062.93</v>
      </c>
      <c r="H43" s="21">
        <v>10798.28</v>
      </c>
      <c r="I43" s="21">
        <v>11424.04</v>
      </c>
      <c r="J43" s="21">
        <v>12396.91</v>
      </c>
      <c r="K43" s="21">
        <v>12166.76</v>
      </c>
      <c r="L43" s="21">
        <v>13678.49</v>
      </c>
      <c r="M43" s="21">
        <v>13627.87</v>
      </c>
      <c r="N43" s="21">
        <v>15608.55</v>
      </c>
      <c r="O43" s="21">
        <v>17318.37</v>
      </c>
      <c r="P43" s="21">
        <v>5664.99</v>
      </c>
      <c r="Q43" s="21">
        <v>5008.6400000000003</v>
      </c>
      <c r="R43" s="21">
        <v>5095.5200000000004</v>
      </c>
      <c r="S43" s="21">
        <v>5426.91</v>
      </c>
      <c r="T43" s="21">
        <v>4997.57</v>
      </c>
      <c r="U43" s="21">
        <v>4999.97</v>
      </c>
      <c r="V43" s="21">
        <v>6127.85</v>
      </c>
      <c r="W43" s="21">
        <v>6109.66</v>
      </c>
      <c r="X43" s="21">
        <v>7336.87</v>
      </c>
      <c r="Y43" s="21">
        <v>6677.12</v>
      </c>
      <c r="Z43" s="21">
        <v>7526.19</v>
      </c>
      <c r="AA43" s="21">
        <v>8969.9699999999993</v>
      </c>
      <c r="AB43" s="22">
        <f>SUM(D43:AA43)</f>
        <v>222525.47999999998</v>
      </c>
      <c r="AC43" s="22">
        <f>SUM(D43:AA43)</f>
        <v>222525.47999999998</v>
      </c>
      <c r="AD43" s="21">
        <v>10363.93</v>
      </c>
      <c r="AE43" s="21">
        <v>9806.7900000000009</v>
      </c>
      <c r="AF43" s="21">
        <v>11094.72</v>
      </c>
      <c r="AG43" s="21">
        <v>9637</v>
      </c>
      <c r="AH43" s="21">
        <v>10695.06</v>
      </c>
      <c r="AI43" s="21">
        <v>11174.79</v>
      </c>
      <c r="AJ43" s="21">
        <v>10599.04</v>
      </c>
      <c r="AK43" s="21">
        <v>12511.13</v>
      </c>
      <c r="AL43" s="21">
        <v>12230.95</v>
      </c>
      <c r="AM43" s="21">
        <v>12139.84</v>
      </c>
      <c r="AN43" s="21">
        <v>12505.22</v>
      </c>
      <c r="AO43" s="21">
        <v>14047.11</v>
      </c>
      <c r="AP43" s="21">
        <v>13006.57</v>
      </c>
      <c r="AQ43" s="21">
        <v>11763.84</v>
      </c>
      <c r="AR43" s="21">
        <v>13016.36</v>
      </c>
      <c r="AS43" s="21">
        <v>10130.16</v>
      </c>
      <c r="AT43" s="21">
        <v>11056.89</v>
      </c>
      <c r="AU43" s="21">
        <v>13046.72</v>
      </c>
      <c r="AV43" s="21">
        <v>12668.33</v>
      </c>
      <c r="AW43" s="21">
        <v>15268.41</v>
      </c>
      <c r="AX43" s="21">
        <v>14356.82</v>
      </c>
      <c r="AY43" s="21">
        <v>14525.99</v>
      </c>
      <c r="AZ43" s="21">
        <v>19195.29</v>
      </c>
      <c r="BA43" s="21">
        <v>18251.97</v>
      </c>
      <c r="BB43" s="23">
        <f t="shared" si="32"/>
        <v>136805.58000000002</v>
      </c>
      <c r="BC43" s="23">
        <f t="shared" si="33"/>
        <v>166287.35</v>
      </c>
      <c r="BD43" s="21">
        <v>16044.68</v>
      </c>
      <c r="BE43" s="21">
        <v>12612.27</v>
      </c>
      <c r="BF43" s="21">
        <v>15748.56</v>
      </c>
      <c r="BG43" s="21">
        <v>16134.71</v>
      </c>
      <c r="BH43" s="21">
        <v>15082.73</v>
      </c>
      <c r="BI43" s="21">
        <v>15463.34</v>
      </c>
      <c r="BJ43" s="21">
        <v>17824.89</v>
      </c>
      <c r="BK43" s="21">
        <v>17752.22</v>
      </c>
      <c r="BL43" s="21">
        <v>21304.22</v>
      </c>
      <c r="BM43" s="21">
        <v>17679.62</v>
      </c>
      <c r="BN43" s="21">
        <v>22442.23</v>
      </c>
      <c r="BO43" s="21">
        <v>21693.13</v>
      </c>
      <c r="BP43" s="21">
        <v>31490.240000000002</v>
      </c>
      <c r="BQ43" s="21">
        <v>26451.96</v>
      </c>
      <c r="BR43" s="21">
        <v>33317.910000000003</v>
      </c>
      <c r="BS43" s="21">
        <v>27670.34</v>
      </c>
      <c r="BT43" s="21">
        <v>29978.080000000002</v>
      </c>
      <c r="BU43" s="21">
        <v>35419.57</v>
      </c>
      <c r="BV43" s="21">
        <v>36099.24</v>
      </c>
      <c r="BW43" s="21">
        <v>36474.97</v>
      </c>
      <c r="BX43" s="21">
        <v>44081.98</v>
      </c>
      <c r="BY43" s="21">
        <v>40104.050000000003</v>
      </c>
      <c r="BZ43" s="21">
        <v>41848.14</v>
      </c>
      <c r="CA43" s="21">
        <v>49256.18</v>
      </c>
      <c r="CB43" s="24">
        <f t="shared" si="34"/>
        <v>209782.6</v>
      </c>
      <c r="CC43" s="24">
        <f t="shared" si="35"/>
        <v>432192.66</v>
      </c>
    </row>
    <row r="44" spans="1:81" x14ac:dyDescent="0.25">
      <c r="A44" s="25" t="s">
        <v>50</v>
      </c>
      <c r="B44" s="25"/>
      <c r="C44" s="25" t="s">
        <v>56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2">
        <f>SUM(D44:O44)</f>
        <v>0</v>
      </c>
      <c r="AC44" s="22">
        <f t="shared" ref="AC44:AC45" si="36">SUM(P44:AA44)</f>
        <v>0</v>
      </c>
      <c r="AD44" s="26">
        <v>1192517.94</v>
      </c>
      <c r="AE44" s="26">
        <v>1128410.48</v>
      </c>
      <c r="AF44" s="26">
        <v>1276604.94</v>
      </c>
      <c r="AG44" s="26">
        <v>1108874.44</v>
      </c>
      <c r="AH44" s="26">
        <v>1230618.56</v>
      </c>
      <c r="AI44" s="26">
        <v>1285818.72</v>
      </c>
      <c r="AJ44" s="26">
        <v>1219570.1299999999</v>
      </c>
      <c r="AK44" s="26">
        <v>1439583.75</v>
      </c>
      <c r="AL44" s="26">
        <v>1407344.48</v>
      </c>
      <c r="AM44" s="26">
        <v>1396860.76</v>
      </c>
      <c r="AN44" s="26">
        <v>1438903.88</v>
      </c>
      <c r="AO44" s="26">
        <v>1616319.32</v>
      </c>
      <c r="AP44" s="26">
        <v>1710389.07</v>
      </c>
      <c r="AQ44" s="26">
        <v>1546968.65</v>
      </c>
      <c r="AR44" s="26">
        <v>1711676.62</v>
      </c>
      <c r="AS44" s="26">
        <v>1332136.1299999999</v>
      </c>
      <c r="AT44" s="26">
        <v>1454002.28</v>
      </c>
      <c r="AU44" s="26">
        <v>1715669.17</v>
      </c>
      <c r="AV44" s="26">
        <v>1665909.97</v>
      </c>
      <c r="AW44" s="26">
        <v>2007826.36</v>
      </c>
      <c r="AX44" s="26">
        <v>1887950.45</v>
      </c>
      <c r="AY44" s="26">
        <v>1910196.48</v>
      </c>
      <c r="AZ44" s="26">
        <v>2524218.63</v>
      </c>
      <c r="BA44" s="26">
        <v>2400169.67</v>
      </c>
      <c r="BB44" s="23">
        <f t="shared" si="32"/>
        <v>15741427.399999999</v>
      </c>
      <c r="BC44" s="23">
        <f t="shared" si="33"/>
        <v>21867113.479999997</v>
      </c>
      <c r="BD44" s="26">
        <v>1190464.04</v>
      </c>
      <c r="BE44" s="26">
        <v>935789.74</v>
      </c>
      <c r="BF44" s="26">
        <v>1168492.8400000001</v>
      </c>
      <c r="BG44" s="26">
        <v>1197143.8400000001</v>
      </c>
      <c r="BH44" s="26">
        <v>1119090.52</v>
      </c>
      <c r="BI44" s="26">
        <v>1147330.4099999999</v>
      </c>
      <c r="BJ44" s="26">
        <v>1322550.1000000001</v>
      </c>
      <c r="BK44" s="26">
        <v>1317157.8600000001</v>
      </c>
      <c r="BL44" s="26">
        <v>1580704.83</v>
      </c>
      <c r="BM44" s="26">
        <v>1311771.18</v>
      </c>
      <c r="BN44" s="26">
        <v>1665141.86</v>
      </c>
      <c r="BO44" s="26">
        <v>1609560.77</v>
      </c>
      <c r="BP44" s="26">
        <v>2641232.33</v>
      </c>
      <c r="BQ44" s="26">
        <v>2218648.4</v>
      </c>
      <c r="BR44" s="26">
        <v>2794527.94</v>
      </c>
      <c r="BS44" s="26">
        <v>2320839.56</v>
      </c>
      <c r="BT44" s="26">
        <v>2514400.4300000002</v>
      </c>
      <c r="BU44" s="26">
        <v>2970803.78</v>
      </c>
      <c r="BV44" s="26">
        <v>3027810.74</v>
      </c>
      <c r="BW44" s="26">
        <v>3059324.82</v>
      </c>
      <c r="BX44" s="26">
        <v>3697360.78</v>
      </c>
      <c r="BY44" s="26">
        <v>3363712.89</v>
      </c>
      <c r="BZ44" s="26">
        <v>3509998.22</v>
      </c>
      <c r="CA44" s="26">
        <v>4131345.49</v>
      </c>
      <c r="CB44" s="24">
        <f t="shared" si="34"/>
        <v>15565197.989999998</v>
      </c>
      <c r="CC44" s="24">
        <f t="shared" si="35"/>
        <v>36250005.380000003</v>
      </c>
    </row>
    <row r="45" spans="1:81" x14ac:dyDescent="0.25">
      <c r="A45" s="27" t="s">
        <v>50</v>
      </c>
      <c r="B45" s="27"/>
      <c r="C45" s="27" t="s">
        <v>24</v>
      </c>
      <c r="D45" s="28">
        <f t="shared" ref="D45:AA45" si="37">SUM(D39:D44)</f>
        <v>1120511.56</v>
      </c>
      <c r="E45" s="28">
        <f t="shared" si="37"/>
        <v>1121307.2</v>
      </c>
      <c r="F45" s="28">
        <f t="shared" si="37"/>
        <v>1111800.0899999999</v>
      </c>
      <c r="G45" s="28">
        <f t="shared" si="37"/>
        <v>1071272.0899999999</v>
      </c>
      <c r="H45" s="28">
        <f t="shared" si="37"/>
        <v>1149555.4300000002</v>
      </c>
      <c r="I45" s="28">
        <f t="shared" si="37"/>
        <v>1216172.1900000002</v>
      </c>
      <c r="J45" s="28">
        <f t="shared" si="37"/>
        <v>1319741.1599999999</v>
      </c>
      <c r="K45" s="28">
        <f t="shared" si="37"/>
        <v>1295239.5500000003</v>
      </c>
      <c r="L45" s="28">
        <f t="shared" si="37"/>
        <v>1456174.6300000001</v>
      </c>
      <c r="M45" s="28">
        <f t="shared" si="37"/>
        <v>1450785.48</v>
      </c>
      <c r="N45" s="28">
        <f t="shared" si="37"/>
        <v>1661643.67</v>
      </c>
      <c r="O45" s="28">
        <f t="shared" si="37"/>
        <v>1843664.13</v>
      </c>
      <c r="P45" s="28">
        <f t="shared" si="37"/>
        <v>950468.17999999993</v>
      </c>
      <c r="Q45" s="28">
        <f t="shared" si="37"/>
        <v>840347.38000000012</v>
      </c>
      <c r="R45" s="28">
        <f t="shared" si="37"/>
        <v>854923.44</v>
      </c>
      <c r="S45" s="28">
        <f t="shared" si="37"/>
        <v>910523.80000000016</v>
      </c>
      <c r="T45" s="28">
        <f t="shared" si="37"/>
        <v>838489.59999999986</v>
      </c>
      <c r="U45" s="28">
        <f t="shared" si="37"/>
        <v>838891.69</v>
      </c>
      <c r="V45" s="28">
        <f t="shared" si="37"/>
        <v>1028126.3099999999</v>
      </c>
      <c r="W45" s="28">
        <f t="shared" si="37"/>
        <v>1025074.3200000001</v>
      </c>
      <c r="X45" s="28">
        <f t="shared" si="37"/>
        <v>1230974.8600000001</v>
      </c>
      <c r="Y45" s="28">
        <f t="shared" si="37"/>
        <v>1120282.97</v>
      </c>
      <c r="Z45" s="28">
        <f t="shared" si="37"/>
        <v>1262739.2</v>
      </c>
      <c r="AA45" s="28">
        <f t="shared" si="37"/>
        <v>1504977.97</v>
      </c>
      <c r="AB45" s="28">
        <f>SUM(D45:O45)</f>
        <v>15817867.18</v>
      </c>
      <c r="AC45" s="28">
        <f t="shared" si="36"/>
        <v>12405819.720000001</v>
      </c>
      <c r="AD45" s="28">
        <f t="shared" ref="AD45:BA45" si="38">SUM(AD39:AD44)</f>
        <v>1484180.93</v>
      </c>
      <c r="AE45" s="28">
        <f t="shared" si="38"/>
        <v>1404394.23</v>
      </c>
      <c r="AF45" s="28">
        <f t="shared" si="38"/>
        <v>1588833.72</v>
      </c>
      <c r="AG45" s="28">
        <f t="shared" si="38"/>
        <v>1380080.1</v>
      </c>
      <c r="AH45" s="28">
        <f t="shared" si="38"/>
        <v>1531600.1</v>
      </c>
      <c r="AI45" s="28">
        <f t="shared" si="38"/>
        <v>1600300.96</v>
      </c>
      <c r="AJ45" s="28">
        <f t="shared" si="38"/>
        <v>1517849.4699999997</v>
      </c>
      <c r="AK45" s="28">
        <f t="shared" si="38"/>
        <v>1791673.44</v>
      </c>
      <c r="AL45" s="28">
        <f t="shared" si="38"/>
        <v>1751549.19</v>
      </c>
      <c r="AM45" s="28">
        <f t="shared" si="38"/>
        <v>1738501.3900000001</v>
      </c>
      <c r="AN45" s="28">
        <f t="shared" si="38"/>
        <v>1790827.2999999998</v>
      </c>
      <c r="AO45" s="28">
        <f t="shared" si="38"/>
        <v>2011634.53</v>
      </c>
      <c r="AP45" s="28">
        <f t="shared" si="38"/>
        <v>2128393.23</v>
      </c>
      <c r="AQ45" s="28">
        <f t="shared" si="38"/>
        <v>1925034.2799999998</v>
      </c>
      <c r="AR45" s="28">
        <f t="shared" si="38"/>
        <v>2129995.4500000002</v>
      </c>
      <c r="AS45" s="28">
        <f t="shared" si="38"/>
        <v>1657698.5699999998</v>
      </c>
      <c r="AT45" s="28">
        <f t="shared" si="38"/>
        <v>1809347.76</v>
      </c>
      <c r="AU45" s="28">
        <f t="shared" si="38"/>
        <v>2134963.7399999998</v>
      </c>
      <c r="AV45" s="28">
        <f t="shared" si="38"/>
        <v>2073043.83</v>
      </c>
      <c r="AW45" s="28">
        <f t="shared" si="38"/>
        <v>2498521.6</v>
      </c>
      <c r="AX45" s="28">
        <f t="shared" si="38"/>
        <v>2349349.06</v>
      </c>
      <c r="AY45" s="28">
        <f t="shared" si="38"/>
        <v>2377031.8199999998</v>
      </c>
      <c r="AZ45" s="28">
        <f t="shared" si="38"/>
        <v>3141115.6399999997</v>
      </c>
      <c r="BA45" s="28">
        <f t="shared" si="38"/>
        <v>2986750.1799999997</v>
      </c>
      <c r="BB45" s="28">
        <f t="shared" si="32"/>
        <v>19591425.359999999</v>
      </c>
      <c r="BC45" s="28">
        <f t="shared" si="33"/>
        <v>27211245.16</v>
      </c>
      <c r="BD45" s="28">
        <f t="shared" ref="BD45:CA45" si="39">SUM(BD39:BD44)</f>
        <v>1250939.6600000001</v>
      </c>
      <c r="BE45" s="28">
        <f t="shared" si="39"/>
        <v>983327.89</v>
      </c>
      <c r="BF45" s="28">
        <f t="shared" si="39"/>
        <v>1227852.31</v>
      </c>
      <c r="BG45" s="28">
        <f t="shared" si="39"/>
        <v>1257958.79</v>
      </c>
      <c r="BH45" s="28">
        <f t="shared" si="39"/>
        <v>1175940.3500000001</v>
      </c>
      <c r="BI45" s="28">
        <f t="shared" si="39"/>
        <v>1205614.8399999999</v>
      </c>
      <c r="BJ45" s="28">
        <f t="shared" si="39"/>
        <v>1389735.6900000002</v>
      </c>
      <c r="BK45" s="28">
        <f t="shared" si="39"/>
        <v>1384069.53</v>
      </c>
      <c r="BL45" s="28">
        <f t="shared" si="39"/>
        <v>1661004.6900000002</v>
      </c>
      <c r="BM45" s="28">
        <f t="shared" si="39"/>
        <v>1378409.2</v>
      </c>
      <c r="BN45" s="28">
        <f t="shared" si="39"/>
        <v>1749731.12</v>
      </c>
      <c r="BO45" s="28">
        <f t="shared" si="39"/>
        <v>1691326.55</v>
      </c>
      <c r="BP45" s="28">
        <f t="shared" si="39"/>
        <v>2770889.0700000003</v>
      </c>
      <c r="BQ45" s="28">
        <f t="shared" si="39"/>
        <v>2327560.71</v>
      </c>
      <c r="BR45" s="28">
        <f t="shared" si="39"/>
        <v>2931709.87</v>
      </c>
      <c r="BS45" s="28">
        <f t="shared" si="39"/>
        <v>2434768.38</v>
      </c>
      <c r="BT45" s="28">
        <f t="shared" si="39"/>
        <v>2637831.0500000003</v>
      </c>
      <c r="BU45" s="28">
        <f t="shared" si="39"/>
        <v>3116639</v>
      </c>
      <c r="BV45" s="28">
        <f t="shared" si="39"/>
        <v>3176444.4000000004</v>
      </c>
      <c r="BW45" s="28">
        <f t="shared" si="39"/>
        <v>3209505.4899999998</v>
      </c>
      <c r="BX45" s="28">
        <f t="shared" si="39"/>
        <v>3878862.3099999996</v>
      </c>
      <c r="BY45" s="28">
        <f t="shared" si="39"/>
        <v>3528835.8200000003</v>
      </c>
      <c r="BZ45" s="28">
        <f t="shared" si="39"/>
        <v>3682302.21</v>
      </c>
      <c r="CA45" s="28">
        <f t="shared" si="39"/>
        <v>4334151.1100000003</v>
      </c>
      <c r="CB45" s="28">
        <f t="shared" si="34"/>
        <v>16355910.619999997</v>
      </c>
      <c r="CC45" s="28">
        <f t="shared" si="35"/>
        <v>38029499.420000002</v>
      </c>
    </row>
    <row r="47" spans="1:81" x14ac:dyDescent="0.25">
      <c r="A47" s="29" t="s">
        <v>57</v>
      </c>
      <c r="B47" s="29"/>
      <c r="C47" s="29"/>
      <c r="D47" s="30">
        <f t="shared" ref="D47:AA47" si="40">D9+D19+D29+D37+D45</f>
        <v>5187725.9600000009</v>
      </c>
      <c r="E47" s="30">
        <f t="shared" si="40"/>
        <v>5121228.49</v>
      </c>
      <c r="F47" s="30">
        <f t="shared" si="40"/>
        <v>5292786.4399999995</v>
      </c>
      <c r="G47" s="30">
        <f t="shared" si="40"/>
        <v>5038085.46</v>
      </c>
      <c r="H47" s="30">
        <f t="shared" si="40"/>
        <v>5154576.2799999993</v>
      </c>
      <c r="I47" s="30">
        <f t="shared" si="40"/>
        <v>5896305.4300000006</v>
      </c>
      <c r="J47" s="30">
        <f t="shared" si="40"/>
        <v>6211596.6499999994</v>
      </c>
      <c r="K47" s="30">
        <f t="shared" si="40"/>
        <v>6236232.9299999997</v>
      </c>
      <c r="L47" s="30">
        <f t="shared" si="40"/>
        <v>6513778.7400000002</v>
      </c>
      <c r="M47" s="30">
        <f t="shared" si="40"/>
        <v>7009461.7599999998</v>
      </c>
      <c r="N47" s="30">
        <f t="shared" si="40"/>
        <v>7670074.7899999991</v>
      </c>
      <c r="O47" s="30">
        <f t="shared" si="40"/>
        <v>8460558.1700000018</v>
      </c>
      <c r="P47" s="30">
        <f t="shared" si="40"/>
        <v>3724259.26</v>
      </c>
      <c r="Q47" s="30">
        <f t="shared" si="40"/>
        <v>3334750.2199999997</v>
      </c>
      <c r="R47" s="30">
        <f t="shared" si="40"/>
        <v>3590530.37</v>
      </c>
      <c r="S47" s="30">
        <f t="shared" si="40"/>
        <v>3537401.1</v>
      </c>
      <c r="T47" s="30">
        <f t="shared" si="40"/>
        <v>3569347.4399999995</v>
      </c>
      <c r="U47" s="30">
        <f t="shared" si="40"/>
        <v>3697052.86</v>
      </c>
      <c r="V47" s="30">
        <f t="shared" si="40"/>
        <v>4184824.3800000004</v>
      </c>
      <c r="W47" s="30">
        <f t="shared" si="40"/>
        <v>3891194.6900000004</v>
      </c>
      <c r="X47" s="30">
        <f t="shared" si="40"/>
        <v>4464410.78</v>
      </c>
      <c r="Y47" s="30">
        <f t="shared" si="40"/>
        <v>4450752.1399999997</v>
      </c>
      <c r="Z47" s="30">
        <f t="shared" si="40"/>
        <v>4987074.08</v>
      </c>
      <c r="AA47" s="30">
        <f t="shared" si="40"/>
        <v>5763343.3999999994</v>
      </c>
      <c r="AB47" s="30">
        <f>SUM(D47:O47)</f>
        <v>73792411.099999994</v>
      </c>
      <c r="AC47" s="30">
        <f>SUM(P47:AA47)</f>
        <v>49194940.719999999</v>
      </c>
      <c r="AD47" s="30">
        <f t="shared" ref="AD47:BA47" si="41">AD9+AD19+AD29+AD37+AD45</f>
        <v>5854534.5299999993</v>
      </c>
      <c r="AE47" s="30">
        <f t="shared" si="41"/>
        <v>5140776.29</v>
      </c>
      <c r="AF47" s="30">
        <f t="shared" si="41"/>
        <v>5956930.8399999989</v>
      </c>
      <c r="AG47" s="30">
        <f t="shared" si="41"/>
        <v>5413109.2000000002</v>
      </c>
      <c r="AH47" s="30">
        <f t="shared" si="41"/>
        <v>6169999.8599999994</v>
      </c>
      <c r="AI47" s="30">
        <f t="shared" si="41"/>
        <v>6636489.919999999</v>
      </c>
      <c r="AJ47" s="30">
        <f t="shared" si="41"/>
        <v>6525467.1099999994</v>
      </c>
      <c r="AK47" s="30">
        <f t="shared" si="41"/>
        <v>6697925.5099999998</v>
      </c>
      <c r="AL47" s="30">
        <f t="shared" si="41"/>
        <v>7636431.1199999992</v>
      </c>
      <c r="AM47" s="30">
        <f t="shared" si="41"/>
        <v>7227199.1500000004</v>
      </c>
      <c r="AN47" s="30">
        <f t="shared" si="41"/>
        <v>8083581.8399999989</v>
      </c>
      <c r="AO47" s="30">
        <f t="shared" si="41"/>
        <v>9384211.7799999993</v>
      </c>
      <c r="AP47" s="30">
        <f t="shared" si="41"/>
        <v>7563481.3300000001</v>
      </c>
      <c r="AQ47" s="30">
        <f t="shared" si="41"/>
        <v>6710098.5999999996</v>
      </c>
      <c r="AR47" s="30">
        <f t="shared" si="41"/>
        <v>7471615.4400000004</v>
      </c>
      <c r="AS47" s="30">
        <f t="shared" si="41"/>
        <v>6673311.0800000001</v>
      </c>
      <c r="AT47" s="30">
        <f t="shared" si="41"/>
        <v>7384175.8499999987</v>
      </c>
      <c r="AU47" s="30">
        <f t="shared" si="41"/>
        <v>8058842.3599999994</v>
      </c>
      <c r="AV47" s="30">
        <f t="shared" si="41"/>
        <v>7679473.5600000005</v>
      </c>
      <c r="AW47" s="30">
        <f t="shared" si="41"/>
        <v>8693600.6799999997</v>
      </c>
      <c r="AX47" s="30">
        <f t="shared" si="41"/>
        <v>9347763.4100000001</v>
      </c>
      <c r="AY47" s="30">
        <f t="shared" si="41"/>
        <v>9099974.1500000004</v>
      </c>
      <c r="AZ47" s="30">
        <f t="shared" si="41"/>
        <v>10650148.859999999</v>
      </c>
      <c r="BA47" s="30">
        <f t="shared" si="41"/>
        <v>11575836.100000001</v>
      </c>
      <c r="BB47" s="30">
        <f>SUM(AD47:AO47)</f>
        <v>80726657.149999991</v>
      </c>
      <c r="BC47" s="30">
        <f>SUM(AP47:BA47)</f>
        <v>100908321.42000002</v>
      </c>
      <c r="BD47" s="30">
        <f t="shared" ref="BD47:CA47" si="42">BD9+BD19+BD29+BD37+BD45</f>
        <v>3302652.2</v>
      </c>
      <c r="BE47" s="30">
        <f t="shared" si="42"/>
        <v>2983924.19</v>
      </c>
      <c r="BF47" s="30">
        <f t="shared" si="42"/>
        <v>3471745.97</v>
      </c>
      <c r="BG47" s="30">
        <f t="shared" si="42"/>
        <v>3485166.5700000003</v>
      </c>
      <c r="BH47" s="30">
        <f t="shared" si="42"/>
        <v>3236742.85</v>
      </c>
      <c r="BI47" s="30">
        <f t="shared" si="42"/>
        <v>3611943.29</v>
      </c>
      <c r="BJ47" s="30">
        <f t="shared" si="42"/>
        <v>4064964.0900000008</v>
      </c>
      <c r="BK47" s="30">
        <f t="shared" si="42"/>
        <v>4001156.3100000005</v>
      </c>
      <c r="BL47" s="30">
        <f t="shared" si="42"/>
        <v>4266725.6000000006</v>
      </c>
      <c r="BM47" s="30">
        <f t="shared" si="42"/>
        <v>4233787.63</v>
      </c>
      <c r="BN47" s="30">
        <f t="shared" si="42"/>
        <v>5034124.7799999993</v>
      </c>
      <c r="BO47" s="30">
        <f t="shared" si="42"/>
        <v>5168999.96</v>
      </c>
      <c r="BP47" s="30">
        <f t="shared" si="42"/>
        <v>6991633.1300000008</v>
      </c>
      <c r="BQ47" s="30">
        <f t="shared" si="42"/>
        <v>5785536.5499999998</v>
      </c>
      <c r="BR47" s="30">
        <f t="shared" si="42"/>
        <v>6846968.2400000002</v>
      </c>
      <c r="BS47" s="30">
        <f t="shared" si="42"/>
        <v>6511140.4199999999</v>
      </c>
      <c r="BT47" s="30">
        <f t="shared" si="42"/>
        <v>6433165.1799999997</v>
      </c>
      <c r="BU47" s="30">
        <f t="shared" si="42"/>
        <v>7246161.4699999997</v>
      </c>
      <c r="BV47" s="30">
        <f t="shared" si="42"/>
        <v>7751628.75</v>
      </c>
      <c r="BW47" s="30">
        <f t="shared" si="42"/>
        <v>7773554.5800000001</v>
      </c>
      <c r="BX47" s="30">
        <f t="shared" si="42"/>
        <v>9091552.5500000007</v>
      </c>
      <c r="BY47" s="30">
        <f t="shared" si="42"/>
        <v>8896670.120000001</v>
      </c>
      <c r="BZ47" s="30">
        <f t="shared" si="42"/>
        <v>9675253.5999999978</v>
      </c>
      <c r="CA47" s="30">
        <f t="shared" si="42"/>
        <v>10720602.240000002</v>
      </c>
      <c r="CB47" s="30">
        <f>SUM(BD47:BO47)</f>
        <v>46861933.440000005</v>
      </c>
      <c r="CC47" s="30">
        <f>SUM(BP47:CA47)</f>
        <v>93723866.830000013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</dc:creator>
  <cp:lastModifiedBy>10</cp:lastModifiedBy>
  <dcterms:created xsi:type="dcterms:W3CDTF">2026-04-04T12:50:23Z</dcterms:created>
  <dcterms:modified xsi:type="dcterms:W3CDTF">2026-04-04T12:54:04Z</dcterms:modified>
</cp:coreProperties>
</file>